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7" autoFilterDateGrouping="1"/>
  </bookViews>
  <sheets>
    <sheet xmlns:r="http://schemas.openxmlformats.org/officeDocument/2006/relationships" name="🖥️ RAW_Hosts" sheetId="1" state="visible" r:id="rId1"/>
    <sheet xmlns:r="http://schemas.openxmlformats.org/officeDocument/2006/relationships" name="💾 RAW_Datastores" sheetId="2" state="visible" r:id="rId2"/>
    <sheet xmlns:r="http://schemas.openxmlformats.org/officeDocument/2006/relationships" name="⚡ RAW_VMs" sheetId="3" state="visible" r:id="rId3"/>
    <sheet xmlns:r="http://schemas.openxmlformats.org/officeDocument/2006/relationships" name="📊 Capacity_Hosts" sheetId="4" state="visible" r:id="rId4"/>
    <sheet xmlns:r="http://schemas.openxmlformats.org/officeDocument/2006/relationships" name="💽 Capacity_Storage" sheetId="5" state="visible" r:id="rId5"/>
    <sheet xmlns:r="http://schemas.openxmlformats.org/officeDocument/2006/relationships" name="🧪 Simulation" sheetId="6" state="visible" r:id="rId6"/>
    <sheet xmlns:r="http://schemas.openxmlformats.org/officeDocument/2006/relationships" name="🔮 Projections" sheetId="7" state="visible" r:id="rId7"/>
    <sheet xmlns:r="http://schemas.openxmlformats.org/officeDocument/2006/relationships" name="📈 Dashboard" sheetId="8" state="visible" r:id="rId8"/>
  </sheets>
  <definedNames/>
  <calcPr calcId="124519" calcMode="auto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#,##0.0"/>
  </numFmts>
  <fonts count="29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b val="1"/>
      <color rgb="002E7D32"/>
      <sz val="10"/>
    </font>
    <font>
      <name val="Calibri"/>
      <b val="1"/>
      <color rgb="00F57F17"/>
      <sz val="10"/>
    </font>
    <font>
      <name val="Calibri"/>
      <i val="1"/>
      <color rgb="001565C0"/>
      <sz val="9"/>
    </font>
    <font>
      <name val="Calibri"/>
      <b val="1"/>
      <color rgb="00B71C1C"/>
      <sz val="10"/>
    </font>
    <font>
      <name val="Calibri"/>
      <b val="1"/>
      <color rgb="00546E7A"/>
      <sz val="10"/>
    </font>
    <font>
      <name val="Calibri"/>
      <i val="1"/>
      <color rgb="002E7D32"/>
      <sz val="9"/>
    </font>
    <font>
      <name val="Calibri"/>
      <b val="1"/>
      <color rgb="00FFFFFF"/>
      <sz val="11"/>
    </font>
    <font>
      <name val="Calibri"/>
      <b val="1"/>
      <color rgb="001B2A4A"/>
      <sz val="20"/>
    </font>
    <font>
      <name val="Calibri"/>
      <i val="1"/>
      <color rgb="00546E7A"/>
      <sz val="8"/>
    </font>
    <font>
      <name val="Calibri"/>
      <b val="1"/>
      <color rgb="001B2A4A"/>
      <sz val="9"/>
    </font>
    <font>
      <name val="Calibri"/>
      <i val="1"/>
      <color rgb="0000695C"/>
      <sz val="9"/>
    </font>
    <font>
      <name val="Calibri"/>
      <b val="1"/>
      <color rgb="0037474F"/>
      <sz val="10"/>
    </font>
    <font>
      <name val="Calibri"/>
      <b val="1"/>
      <color rgb="00806000"/>
      <sz val="12"/>
    </font>
    <font>
      <name val="Calibri"/>
      <i val="1"/>
      <color rgb="00546E7A"/>
      <sz val="9"/>
    </font>
    <font>
      <name val="Calibri"/>
      <b val="1"/>
      <color rgb="004A3000"/>
      <sz val="9"/>
    </font>
    <font>
      <name val="Calibri"/>
      <b val="1"/>
      <color rgb="001B2A4A"/>
      <sz val="10"/>
    </font>
    <font>
      <name val="Calibri"/>
      <color rgb="00000000"/>
      <sz val="9"/>
    </font>
    <font>
      <name val="Calibri"/>
      <b val="1"/>
      <color rgb="00806000"/>
      <sz val="13"/>
    </font>
    <font>
      <name val="Calibri"/>
      <color rgb="00000000"/>
      <sz val="10"/>
    </font>
    <font>
      <name val="Calibri"/>
      <b val="1"/>
      <color rgb="000000FF"/>
      <sz val="11"/>
    </font>
    <font>
      <name val="Calibri"/>
      <b val="1"/>
      <color rgb="00000000"/>
      <sz val="9"/>
    </font>
    <font>
      <name val="Calibri"/>
      <b val="1"/>
      <color rgb="00FFFFFF"/>
      <sz val="24"/>
    </font>
    <font>
      <name val="Calibri"/>
      <i val="1"/>
      <color rgb="00546E7A"/>
      <sz val="10"/>
    </font>
    <font>
      <name val="Calibri"/>
      <b val="1"/>
      <color rgb="00000000"/>
      <sz val="10"/>
    </font>
    <font>
      <name val="Calibri"/>
      <b val="1"/>
      <color rgb="001B2A4A"/>
      <sz val="15"/>
    </font>
  </fonts>
  <fills count="18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2E7D32"/>
      </patternFill>
    </fill>
    <fill>
      <patternFill patternType="solid">
        <fgColor rgb="00E3F2FD"/>
      </patternFill>
    </fill>
    <fill>
      <patternFill patternType="solid">
        <fgColor rgb="00F57F17"/>
      </patternFill>
    </fill>
    <fill>
      <patternFill patternType="solid">
        <fgColor rgb="00FFFDE7"/>
      </patternFill>
    </fill>
    <fill>
      <patternFill patternType="solid">
        <fgColor rgb="00E8F5E9"/>
      </patternFill>
    </fill>
    <fill>
      <patternFill patternType="solid">
        <fgColor rgb="00E65100"/>
      </patternFill>
    </fill>
    <fill>
      <patternFill patternType="solid">
        <fgColor rgb="00FBE9E7"/>
      </patternFill>
    </fill>
    <fill>
      <patternFill patternType="solid">
        <fgColor rgb="00FFFFFF"/>
      </patternFill>
    </fill>
    <fill>
      <patternFill patternType="solid">
        <fgColor rgb="00ECEFF1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4A148C"/>
      </patternFill>
    </fill>
    <fill>
      <patternFill patternType="solid">
        <fgColor rgb="00F3E5F5"/>
      </patternFill>
    </fill>
  </fills>
  <borders count="8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/>
      <right/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/>
      <diagonal/>
    </border>
    <border>
      <left/>
      <right style="thin">
        <color rgb="00BDBDBD"/>
      </right>
      <top style="thin">
        <color rgb="00BDBDBD"/>
      </top>
      <bottom style="thin">
        <color rgb="00BDBDBD"/>
      </bottom>
      <diagonal/>
    </border>
    <border>
      <left style="thin">
        <color rgb="00F57F17"/>
      </left>
      <right style="thin">
        <color rgb="00F57F17"/>
      </right>
      <top style="thin">
        <color rgb="00F57F17"/>
      </top>
      <bottom style="thin">
        <color rgb="00F57F17"/>
      </bottom>
    </border>
    <border>
      <left/>
      <right/>
      <top style="thin">
        <color rgb="00BDBDBD"/>
      </top>
      <bottom style="thin">
        <color rgb="00BDBDBD"/>
      </bottom>
      <diagonal/>
    </border>
    <border>
      <left style="thin">
        <color rgb="001565C0"/>
      </left>
      <right style="thin">
        <color rgb="001565C0"/>
      </right>
      <top style="thin">
        <color rgb="001565C0"/>
      </top>
      <bottom style="thin">
        <color rgb="001565C0"/>
      </bottom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3" fillId="7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3" fontId="11" fillId="6" borderId="1" applyAlignment="1" pivotButton="0" quotePrefix="0" xfId="0">
      <alignment horizontal="center" vertical="center"/>
    </xf>
    <xf numFmtId="165" fontId="11" fillId="8" borderId="1" applyAlignment="1" pivotButton="0" quotePrefix="0" xfId="0">
      <alignment horizontal="center" vertical="center"/>
    </xf>
    <xf numFmtId="165" fontId="11" fillId="9" borderId="1" applyAlignment="1" pivotButton="0" quotePrefix="0" xfId="0">
      <alignment horizontal="center" vertical="center"/>
    </xf>
    <xf numFmtId="3" fontId="11" fillId="11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0" fontId="10" fillId="3" borderId="0" applyAlignment="1" pivotButton="0" quotePrefix="0" xfId="0">
      <alignment horizontal="left" vertical="center"/>
    </xf>
    <xf numFmtId="0" fontId="13" fillId="12" borderId="1" applyAlignment="1" pivotButton="0" quotePrefix="0" xfId="0">
      <alignment horizontal="left" vertical="center"/>
    </xf>
    <xf numFmtId="3" fontId="0" fillId="12" borderId="1" applyAlignment="1" pivotButton="0" quotePrefix="0" xfId="0">
      <alignment horizontal="center" vertical="center"/>
    </xf>
    <xf numFmtId="165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/>
    </xf>
    <xf numFmtId="3" fontId="0" fillId="13" borderId="1" applyAlignment="1" pivotButton="0" quotePrefix="0" xfId="0">
      <alignment horizontal="center" vertical="center"/>
    </xf>
    <xf numFmtId="165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3" fontId="11" fillId="9" borderId="1" applyAlignment="1" pivotButton="0" quotePrefix="0" xfId="0">
      <alignment horizontal="center" vertical="center"/>
    </xf>
    <xf numFmtId="3" fontId="11" fillId="15" borderId="1" applyAlignment="1" pivotButton="0" quotePrefix="0" xfId="0">
      <alignment horizontal="center" vertical="center"/>
    </xf>
    <xf numFmtId="0" fontId="12" fillId="15" borderId="1" applyAlignment="1" pivotButton="0" quotePrefix="0" xfId="0">
      <alignment horizontal="center" vertical="center"/>
    </xf>
    <xf numFmtId="0" fontId="10" fillId="4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0" fillId="16" borderId="0" applyAlignment="1" pivotButton="0" quotePrefix="0" xfId="0">
      <alignment horizontal="left" vertical="center"/>
    </xf>
    <xf numFmtId="0" fontId="15" fillId="13" borderId="1" applyAlignment="1" pivotButton="0" quotePrefix="0" xfId="0">
      <alignment horizontal="left" vertical="center"/>
    </xf>
    <xf numFmtId="3" fontId="16" fillId="8" borderId="5" applyAlignment="1" pivotButton="0" quotePrefix="0" xfId="0">
      <alignment horizontal="center" vertical="center"/>
    </xf>
    <xf numFmtId="0" fontId="17" fillId="13" borderId="1" applyAlignment="1" pivotButton="0" quotePrefix="0" xfId="0">
      <alignment horizontal="left" vertical="center"/>
    </xf>
    <xf numFmtId="0" fontId="0" fillId="0" borderId="6" pivotButton="0" quotePrefix="0" xfId="0"/>
    <xf numFmtId="164" fontId="16" fillId="8" borderId="5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8" fillId="7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19" fillId="6" borderId="1" applyAlignment="1" pivotButton="0" quotePrefix="0" xfId="0">
      <alignment horizontal="left" vertical="center"/>
    </xf>
    <xf numFmtId="3" fontId="20" fillId="12" borderId="1" applyAlignment="1" pivotButton="0" quotePrefix="0" xfId="0">
      <alignment horizontal="center" vertical="center"/>
    </xf>
    <xf numFmtId="165" fontId="20" fillId="12" borderId="1" applyAlignment="1" pivotButton="0" quotePrefix="0" xfId="0">
      <alignment horizontal="center" vertical="center"/>
    </xf>
    <xf numFmtId="3" fontId="21" fillId="8" borderId="5" applyAlignment="1" pivotButton="0" quotePrefix="0" xfId="0">
      <alignment horizontal="center" vertical="center"/>
    </xf>
    <xf numFmtId="3" fontId="20" fillId="8" borderId="1" applyAlignment="1" pivotButton="0" quotePrefix="0" xfId="0">
      <alignment horizontal="center" vertical="center"/>
    </xf>
    <xf numFmtId="166" fontId="20" fillId="8" borderId="1" applyAlignment="1" pivotButton="0" quotePrefix="0" xfId="0">
      <alignment horizontal="center" vertical="center"/>
    </xf>
    <xf numFmtId="165" fontId="20" fillId="17" borderId="1" applyAlignment="1" pivotButton="0" quotePrefix="0" xfId="0">
      <alignment horizontal="center" vertical="center"/>
    </xf>
    <xf numFmtId="0" fontId="20" fillId="17" borderId="1" applyAlignment="1" pivotButton="0" quotePrefix="0" xfId="0">
      <alignment horizontal="center" vertical="center"/>
    </xf>
    <xf numFmtId="3" fontId="20" fillId="17" borderId="1" applyAlignment="1" pivotButton="0" quotePrefix="0" xfId="0">
      <alignment horizontal="center" vertical="center"/>
    </xf>
    <xf numFmtId="3" fontId="20" fillId="13" borderId="1" applyAlignment="1" pivotButton="0" quotePrefix="0" xfId="0">
      <alignment horizontal="center" vertical="center"/>
    </xf>
    <xf numFmtId="165" fontId="20" fillId="13" borderId="1" applyAlignment="1" pivotButton="0" quotePrefix="0" xfId="0">
      <alignment horizontal="center" vertical="center"/>
    </xf>
    <xf numFmtId="0" fontId="22" fillId="13" borderId="1" applyAlignment="1" pivotButton="0" quotePrefix="0" xfId="0">
      <alignment horizontal="left" vertical="center"/>
    </xf>
    <xf numFmtId="165" fontId="23" fillId="6" borderId="7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24" fillId="13" borderId="1" applyAlignment="1" pivotButton="0" quotePrefix="0" xfId="0">
      <alignment horizontal="left" vertical="center"/>
    </xf>
    <xf numFmtId="0" fontId="0" fillId="2" borderId="0" pivotButton="0" quotePrefix="0" xfId="0"/>
    <xf numFmtId="0" fontId="25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6" fillId="0" borderId="0" applyAlignment="1" pivotButton="0" quotePrefix="0" xfId="0">
      <alignment horizontal="left" vertical="center"/>
    </xf>
    <xf numFmtId="3" fontId="11" fillId="8" borderId="1" applyAlignment="1" pivotButton="0" quotePrefix="0" xfId="0">
      <alignment horizontal="center" vertical="center"/>
    </xf>
    <xf numFmtId="166" fontId="11" fillId="6" borderId="1" applyAlignment="1" pivotButton="0" quotePrefix="0" xfId="0">
      <alignment horizontal="center" vertical="center"/>
    </xf>
    <xf numFmtId="165" fontId="11" fillId="11" borderId="1" applyAlignment="1" pivotButton="0" quotePrefix="0" xfId="0">
      <alignment horizontal="center" vertical="center"/>
    </xf>
    <xf numFmtId="0" fontId="10" fillId="14" borderId="0" applyAlignment="1" pivotButton="0" quotePrefix="0" xfId="0">
      <alignment horizontal="left" vertical="center"/>
    </xf>
    <xf numFmtId="0" fontId="27" fillId="13" borderId="1" applyAlignment="1" pivotButton="0" quotePrefix="0" xfId="0">
      <alignment horizontal="left" vertical="center"/>
    </xf>
    <xf numFmtId="3" fontId="28" fillId="15" borderId="1" applyAlignment="1" pivotButton="0" quotePrefix="0" xfId="0">
      <alignment horizontal="center" vertical="center"/>
    </xf>
    <xf numFmtId="3" fontId="28" fillId="8" borderId="1" applyAlignment="1" pivotButton="0" quotePrefix="0" xfId="0">
      <alignment horizontal="center" vertical="center"/>
    </xf>
    <xf numFmtId="0" fontId="2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par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Capacity_Hosts'!$A$12:$A$61</f>
            </numRef>
          </cat>
          <val>
            <numRef>
              <f>'📊 Capacity_Hosts'!$D$12:$D$61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Libre % par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Capacity_Hosts'!J11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Capacity_Hosts'!$A$12:$A$61</f>
            </numRef>
          </cat>
          <val>
            <numRef>
              <f>'📊 Capacity_Hosts'!$J$12:$J$61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Capacité / Libre / Provisionné par DS Cluster (GB)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Capacity_Storage'!$A$12:$A$51</f>
            </numRef>
          </cat>
          <val>
            <numRef>
              <f>'💽 Capacity_Storage'!$D$12:$D$51</f>
            </numRef>
          </val>
        </ser>
        <ser>
          <idx val="1"/>
          <order val="1"/>
          <tx>
            <strRef>
              <f>'💽 Capacity_Storage'!E11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Capacity_Storage'!$A$12:$A$51</f>
            </numRef>
          </cat>
          <val>
            <numRef>
              <f>'💽 Capacity_Storage'!$E$12:$E$51</f>
            </numRef>
          </val>
        </ser>
        <ser>
          <idx val="2"/>
          <order val="2"/>
          <tx>
            <strRef>
              <f>'💽 Capacity_Storage'!H11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Capacity_Storage'!$A$12:$A$51</f>
            </numRef>
          </cat>
          <val>
            <numRef>
              <f>'💽 Capacity_Storage'!$H$12:$H$51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Répartition Capacité par DS Cluster</a:t>
            </a:r>
          </a:p>
        </rich>
      </tx>
    </title>
    <plotArea>
      <pieChart>
        <varyColors val="1"/>
        <ser>
          <idx val="0"/>
          <order val="0"/>
          <tx>
            <strRef>
              <f>'💽 Capacity_Storage'!D11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Capacity_Storage'!$A$12:$A$51</f>
            </numRef>
          </cat>
          <val>
            <numRef>
              <f>'💽 Capacity_Storage'!$D$12:$D$51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Libre % : Actuel vs Après simulation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'🧪 Simulation'!E14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Simulation'!$A$15:$A$64</f>
            </numRef>
          </cat>
          <val>
            <numRef>
              <f>'🧪 Simulation'!$E$15:$E$64</f>
            </numRef>
          </val>
        </ser>
        <ser>
          <idx val="1"/>
          <order val="1"/>
          <tx>
            <strRef>
              <f>'🧪 Simulation'!Q14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Simulation'!$A$15:$A$64</f>
            </numRef>
          </cat>
          <val>
            <numRef>
              <f>'🧪 Simulation'!$Q$15:$Q$64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Libre % : Actuel vs Après simulation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'🧪 Simulation'!I14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Simulation'!$A$15:$A$64</f>
            </numRef>
          </cat>
          <val>
            <numRef>
              <f>'🧪 Simulation'!$I$15:$I$64</f>
            </numRef>
          </val>
        </ser>
        <ser>
          <idx val="1"/>
          <order val="1"/>
          <tx>
            <strRef>
              <f>'🧪 Simulation'!S14</f>
            </strRef>
          </tx>
          <spPr>
            <a:ln xmlns:a="http://schemas.openxmlformats.org/drawingml/2006/main">
              <a:prstDash val="solid"/>
            </a:ln>
          </spPr>
          <cat>
            <numRef>
              <f>'🧪 Simulation'!$A$15:$A$64</f>
            </numRef>
          </cat>
          <val>
            <numRef>
              <f>'🧪 Simulation'!$S$15:$S$64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Croissance Nb VMs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Libre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Projections'!$B$20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Projections'!$C$20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Projections'!$D$20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Projections'!$E$20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Projections'!$F$20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Projections'!$G$20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Projections'!$H$20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Projections'!$I$20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Projections'!$J$20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Projections'!$K$20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Projections'!$L$20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Projections'!$M$20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RAM Libre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Projections'!$B$25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Projections'!$C$25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Projections'!$D$25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Projections'!$E$25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Projections'!$F$25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Projections'!$G$25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Projections'!$H$25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Projections'!$I$25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Projections'!$J$25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Projections'!$K$25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Projections'!$L$25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Projections'!$M$25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Projections'!$N$25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Stockage Libre % (12 mois)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Projections'!$B$30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Projections'!$C$30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Projections'!$D$30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Projections'!$E$30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Projections'!$F$30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Projections'!$G$30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Projections'!$H$30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Projections'!$I$30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Projections'!$J$30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Projections'!$K$30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Projections'!$L$30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Projections'!$M$30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'🔮 Projections'!$B$14:$N$14</f>
            </numRef>
          </cat>
          <val>
            <numRef>
              <f>'🔮 Projections'!$N$30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CPU Consommé % par Cluster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Capacity_Hosts'!D11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Capacity_Hosts'!$A$12:$A$61</f>
            </numRef>
          </cat>
          <val>
            <numRef>
              <f>'📊 Capacity_Hosts'!$D$12:$D$61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Stockage Usage % par DS Cluster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'💽 Capacity_Storage'!G11</f>
            </strRef>
          </tx>
          <spPr>
            <a:ln xmlns:a="http://schemas.openxmlformats.org/drawingml/2006/main">
              <a:prstDash val="solid"/>
            </a:ln>
          </spPr>
          <cat>
            <numRef>
              <f>'💽 Capacity_Storage'!$A$12:$A$51</f>
            </numRef>
          </cat>
          <val>
            <numRef>
              <f>'💽 Capacity_Storage'!$G$12:$G$51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0%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VMs par État</a:t>
            </a:r>
          </a:p>
        </rich>
      </tx>
    </title>
    <plotArea>
      <pieChart>
        <varyColors val="1"/>
        <ser>
          <idx val="0"/>
          <order val="0"/>
          <tx>
            <strRef>
              <f>'📈 Dashboard'!C45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Dashboard'!$B$46:$B$47</f>
            </numRef>
          </cat>
          <val>
            <numRef>
              <f>'📈 Dashboard'!$C$46:$C$47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Projection VMs 12 mois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Projections'!$B$16</f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Projections'!$C$16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Projections'!$D$16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Projections'!$E$16</f>
            </numRef>
          </val>
        </ser>
        <ser>
          <idx val="4"/>
          <order val="4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Projections'!$F$16</f>
            </numRef>
          </val>
        </ser>
        <ser>
          <idx val="5"/>
          <order val="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Projections'!$G$16</f>
            </numRef>
          </val>
        </ser>
        <ser>
          <idx val="6"/>
          <order val="6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Projections'!$H$16</f>
            </numRef>
          </val>
        </ser>
        <ser>
          <idx val="7"/>
          <order val="7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Projections'!$I$16</f>
            </numRef>
          </val>
        </ser>
        <ser>
          <idx val="8"/>
          <order val="8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Projections'!$J$16</f>
            </numRef>
          </val>
        </ser>
        <ser>
          <idx val="9"/>
          <order val="9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Projections'!$K$16</f>
            </numRef>
          </val>
        </ser>
        <ser>
          <idx val="10"/>
          <order val="1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Projections'!$L$16</f>
            </numRef>
          </val>
        </ser>
        <ser>
          <idx val="11"/>
          <order val="1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Projections'!$M$16</f>
            </numRef>
          </val>
        </ser>
        <ser>
          <idx val="12"/>
          <order val="12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'🔮 Projections'!$N$16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7.xml" Id="rId1"/><Relationship Type="http://schemas.openxmlformats.org/officeDocument/2006/relationships/chart" Target="/xl/charts/chart8.xml" Id="rId2"/><Relationship Type="http://schemas.openxmlformats.org/officeDocument/2006/relationships/chart" Target="/xl/charts/chart9.xml" Id="rId3"/><Relationship Type="http://schemas.openxmlformats.org/officeDocument/2006/relationships/chart" Target="/xl/charts/chart10.xml" Id="rId4"/></Relationships>
</file>

<file path=xl/drawings/_rels/drawing5.xml.rels><Relationships xmlns="http://schemas.openxmlformats.org/package/2006/relationships"><Relationship Type="http://schemas.openxmlformats.org/officeDocument/2006/relationships/chart" Target="/xl/charts/chart11.xml" Id="rId1"/><Relationship Type="http://schemas.openxmlformats.org/officeDocument/2006/relationships/chart" Target="/xl/charts/chart12.xml" Id="rId2"/><Relationship Type="http://schemas.openxmlformats.org/officeDocument/2006/relationships/chart" Target="/xl/charts/chart13.xml" Id="rId3"/><Relationship Type="http://schemas.openxmlformats.org/officeDocument/2006/relationships/chart" Target="/xl/charts/chart1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64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64</row>
      <rowOff>0</rowOff>
    </from>
    <ext cx="720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54</row>
      <rowOff>0</rowOff>
    </from>
    <ext cx="792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54</row>
      <rowOff>0</rowOff>
    </from>
    <ext cx="57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67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67</row>
      <rowOff>0</rowOff>
    </from>
    <ext cx="792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34</row>
      <rowOff>0</rowOff>
    </from>
    <ext cx="75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15</col>
      <colOff>0</colOff>
      <row>34</row>
      <rowOff>0</rowOff>
    </from>
    <ext cx="7560000" cy="46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5734</row>
      <rowOff>0</rowOff>
    </from>
    <ext cx="75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15</col>
      <colOff>0</colOff>
      <row>5734</row>
      <rowOff>0</rowOff>
    </from>
    <ext cx="75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1</col>
      <colOff>0</colOff>
      <row>24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16</col>
      <colOff>0</colOff>
      <row>24</row>
      <rowOff>0</rowOff>
    </from>
    <ext cx="64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48</row>
      <rowOff>0</rowOff>
    </from>
    <ext cx="5760000" cy="46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16</col>
      <colOff>0</colOff>
      <row>48</row>
      <rowOff>0</rowOff>
    </from>
    <ext cx="7560000" cy="468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Hosts" displayName="tHosts" ref="A3:I13" headerRowCount="1">
  <autoFilter ref="A3:I13"/>
  <tableColumns count="9">
    <tableColumn id="1" name="Name"/>
    <tableColumn id="2" name="State"/>
    <tableColumn id="3" name="Status"/>
    <tableColumn id="4" name="Cluster"/>
    <tableColumn id="5" name="Consumed CPU %"/>
    <tableColumn id="6" name="Consumed Memory %"/>
    <tableColumn id="7" name="Memory Size (MB)"/>
    <tableColumn id="8" name="CPUs"/>
    <tableColumn id="9" name="NIC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Datastores" displayName="tDatastores" ref="A3:H13" headerRowCount="1">
  <autoFilter ref="A3:H13"/>
  <tableColumns count="8">
    <tableColumn id="1" name="Name"/>
    <tableColumn id="2" name="Status"/>
    <tableColumn id="3" name="Type"/>
    <tableColumn id="4" name="Datastore Cluster"/>
    <tableColumn id="5" name="Capacity"/>
    <tableColumn id="6" name="Free"/>
    <tableColumn id="7" name="Access"/>
    <tableColumn id="8" name="Provisioned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id="3" name="tVMs" displayName="tVMs" ref="A3:L20" headerRowCount="1">
  <autoFilter ref="A3:L20"/>
  <tableColumns count="12">
    <tableColumn id="1" name="Name"/>
    <tableColumn id="2" name="State"/>
    <tableColumn id="3" name="Status"/>
    <tableColumn id="4" name="Host"/>
    <tableColumn id="5" name="Cluster"/>
    <tableColumn id="6" name="Provisioned Space"/>
    <tableColumn id="7" name="Used Space"/>
    <tableColumn id="8" name="Host CPU"/>
    <tableColumn id="9" name="Host Mem"/>
    <tableColumn id="10" name="Active Memory"/>
    <tableColumn id="11" name="CPUs"/>
    <tableColumn id="12" name="NIC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tabColor rgb="001565C0"/>
    <outlinePr summaryBelow="1" summaryRight="1"/>
    <pageSetUpPr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2" customWidth="1" min="4" max="4"/>
    <col width="16" customWidth="1" min="5" max="5"/>
    <col width="18" customWidth="1" min="6" max="6"/>
    <col width="18" customWidth="1" min="7" max="7"/>
    <col width="8" customWidth="1" min="8" max="8"/>
    <col width="8" customWidth="1" min="9" max="9"/>
  </cols>
  <sheetData>
    <row r="1" ht="50" customHeight="1">
      <c r="A1" s="1" t="inlineStr">
        <is>
          <t>🖥️  HOSTS ESXi – Export vCenter 8  |  Alimenté par Power Query</t>
        </is>
      </c>
    </row>
    <row r="2" ht="16" customHeight="1">
      <c r="A2" s="2" t="inlineStr">
        <is>
          <t>⚠️  NE PAS MODIFIER  |  Rafraîchir via Données → Actualiser tout  |  Consumed CPU % et Memory % = nombres bruts (45.0 = 45%)</t>
        </is>
      </c>
    </row>
    <row r="3" ht="28" customHeight="1">
      <c r="A3" s="3" t="inlineStr">
        <is>
          <t>Name</t>
        </is>
      </c>
      <c r="B3" s="3" t="inlineStr">
        <is>
          <t>State</t>
        </is>
      </c>
      <c r="C3" s="3" t="inlineStr">
        <is>
          <t>Status</t>
        </is>
      </c>
      <c r="D3" s="3" t="inlineStr">
        <is>
          <t>Cluster</t>
        </is>
      </c>
      <c r="E3" s="3" t="inlineStr">
        <is>
          <t>Consumed CPU %</t>
        </is>
      </c>
      <c r="F3" s="3" t="inlineStr">
        <is>
          <t>Consumed Memory %</t>
        </is>
      </c>
      <c r="G3" s="3" t="inlineStr">
        <is>
          <t>Memory Size (MB)</t>
        </is>
      </c>
      <c r="H3" s="3" t="inlineStr">
        <is>
          <t>CPUs</t>
        </is>
      </c>
      <c r="I3" s="3" t="inlineStr">
        <is>
          <t>NICs</t>
        </is>
      </c>
    </row>
    <row r="4" ht="18" customHeight="1">
      <c r="A4" s="4" t="inlineStr">
        <is>
          <t>esxi-prod-01</t>
        </is>
      </c>
      <c r="B4" s="5" t="inlineStr">
        <is>
          <t>Connected</t>
        </is>
      </c>
      <c r="C4" s="5" t="inlineStr">
        <is>
          <t>Green</t>
        </is>
      </c>
      <c r="D4" s="4" t="inlineStr">
        <is>
          <t>PROD-Cluster-01</t>
        </is>
      </c>
      <c r="E4" s="6" t="n">
        <v>23</v>
      </c>
      <c r="F4" s="6" t="n">
        <v>28</v>
      </c>
      <c r="G4" s="7" t="n">
        <v>393216</v>
      </c>
      <c r="H4" s="7" t="n">
        <v>40</v>
      </c>
      <c r="I4" s="7" t="n">
        <v>4</v>
      </c>
    </row>
    <row r="5" ht="18" customHeight="1">
      <c r="A5" s="4" t="inlineStr">
        <is>
          <t>esxi-prod-02</t>
        </is>
      </c>
      <c r="B5" s="5" t="inlineStr">
        <is>
          <t>Connected</t>
        </is>
      </c>
      <c r="C5" s="5" t="inlineStr">
        <is>
          <t>Green</t>
        </is>
      </c>
      <c r="D5" s="4" t="inlineStr">
        <is>
          <t>PROD-Cluster-01</t>
        </is>
      </c>
      <c r="E5" s="6" t="n">
        <v>55</v>
      </c>
      <c r="F5" s="6" t="n">
        <v>62</v>
      </c>
      <c r="G5" s="7" t="n">
        <v>393216</v>
      </c>
      <c r="H5" s="7" t="n">
        <v>40</v>
      </c>
      <c r="I5" s="7" t="n">
        <v>4</v>
      </c>
    </row>
    <row r="6" ht="18" customHeight="1">
      <c r="A6" s="4" t="inlineStr">
        <is>
          <t>esxi-prod-03</t>
        </is>
      </c>
      <c r="B6" s="5" t="inlineStr">
        <is>
          <t>Connected</t>
        </is>
      </c>
      <c r="C6" s="5" t="inlineStr">
        <is>
          <t>Green</t>
        </is>
      </c>
      <c r="D6" s="4" t="inlineStr">
        <is>
          <t>PROD-Cluster-01</t>
        </is>
      </c>
      <c r="E6" s="6" t="n">
        <v>39</v>
      </c>
      <c r="F6" s="6" t="n">
        <v>46</v>
      </c>
      <c r="G6" s="7" t="n">
        <v>393216</v>
      </c>
      <c r="H6" s="7" t="n">
        <v>40</v>
      </c>
      <c r="I6" s="7" t="n">
        <v>4</v>
      </c>
    </row>
    <row r="7" ht="18" customHeight="1">
      <c r="A7" s="4" t="inlineStr">
        <is>
          <t>esxi-prod-04</t>
        </is>
      </c>
      <c r="B7" s="5" t="inlineStr">
        <is>
          <t>Connected</t>
        </is>
      </c>
      <c r="C7" s="5" t="inlineStr">
        <is>
          <t>Green</t>
        </is>
      </c>
      <c r="D7" s="4" t="inlineStr">
        <is>
          <t>PROD-Cluster-02</t>
        </is>
      </c>
      <c r="E7" s="6" t="n">
        <v>68</v>
      </c>
      <c r="F7" s="6" t="n">
        <v>71</v>
      </c>
      <c r="G7" s="7" t="n">
        <v>262144</v>
      </c>
      <c r="H7" s="7" t="n">
        <v>32</v>
      </c>
      <c r="I7" s="7" t="n">
        <v>4</v>
      </c>
    </row>
    <row r="8" ht="18" customHeight="1">
      <c r="A8" s="4" t="inlineStr">
        <is>
          <t>esxi-prod-05</t>
        </is>
      </c>
      <c r="B8" s="5" t="inlineStr">
        <is>
          <t>Connected</t>
        </is>
      </c>
      <c r="C8" s="8" t="inlineStr">
        <is>
          <t>Yellow</t>
        </is>
      </c>
      <c r="D8" s="4" t="inlineStr">
        <is>
          <t>PROD-Cluster-02</t>
        </is>
      </c>
      <c r="E8" s="6" t="n">
        <v>81</v>
      </c>
      <c r="F8" s="6" t="n">
        <v>83</v>
      </c>
      <c r="G8" s="7" t="n">
        <v>262144</v>
      </c>
      <c r="H8" s="7" t="n">
        <v>32</v>
      </c>
      <c r="I8" s="7" t="n">
        <v>4</v>
      </c>
    </row>
    <row r="9" ht="18" customHeight="1">
      <c r="A9" s="4" t="inlineStr">
        <is>
          <t>esxi-prod-06</t>
        </is>
      </c>
      <c r="B9" s="5" t="inlineStr">
        <is>
          <t>Connected</t>
        </is>
      </c>
      <c r="C9" s="5" t="inlineStr">
        <is>
          <t>Green</t>
        </is>
      </c>
      <c r="D9" s="4" t="inlineStr">
        <is>
          <t>PROD-Cluster-02</t>
        </is>
      </c>
      <c r="E9" s="6" t="n">
        <v>74</v>
      </c>
      <c r="F9" s="6" t="n">
        <v>68</v>
      </c>
      <c r="G9" s="7" t="n">
        <v>262144</v>
      </c>
      <c r="H9" s="7" t="n">
        <v>32</v>
      </c>
      <c r="I9" s="7" t="n">
        <v>4</v>
      </c>
    </row>
    <row r="10" ht="18" customHeight="1">
      <c r="A10" s="4" t="inlineStr">
        <is>
          <t>esxi-dev-01</t>
        </is>
      </c>
      <c r="B10" s="5" t="inlineStr">
        <is>
          <t>Connected</t>
        </is>
      </c>
      <c r="C10" s="5" t="inlineStr">
        <is>
          <t>Green</t>
        </is>
      </c>
      <c r="D10" s="4" t="inlineStr">
        <is>
          <t>DEV-Cluster-01</t>
        </is>
      </c>
      <c r="E10" s="6" t="n">
        <v>18</v>
      </c>
      <c r="F10" s="6" t="n">
        <v>22</v>
      </c>
      <c r="G10" s="7" t="n">
        <v>196608</v>
      </c>
      <c r="H10" s="7" t="n">
        <v>24</v>
      </c>
      <c r="I10" s="7" t="n">
        <v>2</v>
      </c>
    </row>
    <row r="11" ht="18" customHeight="1">
      <c r="A11" s="4" t="inlineStr">
        <is>
          <t>esxi-dev-02</t>
        </is>
      </c>
      <c r="B11" s="5" t="inlineStr">
        <is>
          <t>Connected</t>
        </is>
      </c>
      <c r="C11" s="5" t="inlineStr">
        <is>
          <t>Green</t>
        </is>
      </c>
      <c r="D11" s="4" t="inlineStr">
        <is>
          <t>DEV-Cluster-01</t>
        </is>
      </c>
      <c r="E11" s="6" t="n">
        <v>12</v>
      </c>
      <c r="F11" s="6" t="n">
        <v>15</v>
      </c>
      <c r="G11" s="7" t="n">
        <v>196608</v>
      </c>
      <c r="H11" s="7" t="n">
        <v>24</v>
      </c>
      <c r="I11" s="7" t="n">
        <v>2</v>
      </c>
    </row>
    <row r="12" ht="18" customHeight="1">
      <c r="A12" s="4" t="inlineStr">
        <is>
          <t>esxi-dev-03</t>
        </is>
      </c>
      <c r="B12" s="5" t="inlineStr">
        <is>
          <t>Connected</t>
        </is>
      </c>
      <c r="C12" s="5" t="inlineStr">
        <is>
          <t>Green</t>
        </is>
      </c>
      <c r="D12" s="4" t="inlineStr">
        <is>
          <t>DEV-Cluster-01</t>
        </is>
      </c>
      <c r="E12" s="6" t="n">
        <v>9</v>
      </c>
      <c r="F12" s="6" t="n">
        <v>10</v>
      </c>
      <c r="G12" s="7" t="n">
        <v>196608</v>
      </c>
      <c r="H12" s="7" t="n">
        <v>24</v>
      </c>
      <c r="I12" s="7" t="n">
        <v>2</v>
      </c>
    </row>
    <row r="13" ht="18" customHeight="1">
      <c r="A13" s="4" t="inlineStr">
        <is>
          <t>esxi-dr-01</t>
        </is>
      </c>
      <c r="B13" s="5" t="inlineStr">
        <is>
          <t>Connected</t>
        </is>
      </c>
      <c r="C13" s="5" t="inlineStr">
        <is>
          <t>Green</t>
        </is>
      </c>
      <c r="D13" s="4" t="inlineStr">
        <is>
          <t>DR-Cluster-01</t>
        </is>
      </c>
      <c r="E13" s="6" t="n">
        <v>5</v>
      </c>
      <c r="F13" s="6" t="n">
        <v>8</v>
      </c>
      <c r="G13" s="7" t="n">
        <v>524288</v>
      </c>
      <c r="H13" s="7" t="n">
        <v>48</v>
      </c>
      <c r="I13" s="7" t="n">
        <v>4</v>
      </c>
    </row>
    <row r="15">
      <c r="A15" s="9" t="inlineStr">
        <is>
          <t>💡  Ces données sont chargées par Power Query depuis votre export vCenter. Cliquez sur Données → Actualiser tout après avoir mis à jour vos fichiers CSV.</t>
        </is>
      </c>
    </row>
  </sheetData>
  <mergeCells count="3">
    <mergeCell ref="A1:I1"/>
    <mergeCell ref="A2:I2"/>
    <mergeCell ref="A15:I15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00695C"/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2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50" customHeight="1">
      <c r="A1" s="1" t="inlineStr">
        <is>
          <t>💾  DATASTORES – Export vCenter 8  |  Alimenté par Power Query</t>
        </is>
      </c>
    </row>
    <row r="2" ht="16" customHeight="1">
      <c r="A2" s="2" t="inlineStr">
        <is>
          <t>⚠️  NE PAS MODIFIER  |  Rafraîchir via Données → Actualiser tout  |  Capacity / Free / Provisioned en GB (nombres)</t>
        </is>
      </c>
    </row>
    <row r="3" ht="28" customHeight="1">
      <c r="A3" s="10" t="inlineStr">
        <is>
          <t>Name</t>
        </is>
      </c>
      <c r="B3" s="10" t="inlineStr">
        <is>
          <t>Status</t>
        </is>
      </c>
      <c r="C3" s="10" t="inlineStr">
        <is>
          <t>Type</t>
        </is>
      </c>
      <c r="D3" s="10" t="inlineStr">
        <is>
          <t>Datastore Cluster</t>
        </is>
      </c>
      <c r="E3" s="10" t="inlineStr">
        <is>
          <t>Capacity</t>
        </is>
      </c>
      <c r="F3" s="10" t="inlineStr">
        <is>
          <t>Free</t>
        </is>
      </c>
      <c r="G3" s="10" t="inlineStr">
        <is>
          <t>Access</t>
        </is>
      </c>
      <c r="H3" s="10" t="inlineStr">
        <is>
          <t>Provisioned</t>
        </is>
      </c>
    </row>
    <row r="4" ht="18" customHeight="1">
      <c r="A4" s="4" t="inlineStr">
        <is>
          <t>PROD-DS-SAN-01</t>
        </is>
      </c>
      <c r="B4" s="5" t="inlineStr">
        <is>
          <t>Green</t>
        </is>
      </c>
      <c r="C4" s="4" t="inlineStr">
        <is>
          <t>VMFS</t>
        </is>
      </c>
      <c r="D4" s="4" t="inlineStr">
        <is>
          <t>PROD-DSCluster</t>
        </is>
      </c>
      <c r="E4" s="7" t="n">
        <v>10240</v>
      </c>
      <c r="F4" s="7" t="n">
        <v>2800</v>
      </c>
      <c r="G4" s="4" t="inlineStr">
        <is>
          <t>ReadWrite</t>
        </is>
      </c>
      <c r="H4" s="7" t="n">
        <v>12500</v>
      </c>
    </row>
    <row r="5" ht="18" customHeight="1">
      <c r="A5" s="4" t="inlineStr">
        <is>
          <t>PROD-DS-SAN-02</t>
        </is>
      </c>
      <c r="B5" s="8" t="inlineStr">
        <is>
          <t>Yellow</t>
        </is>
      </c>
      <c r="C5" s="4" t="inlineStr">
        <is>
          <t>VMFS</t>
        </is>
      </c>
      <c r="D5" s="4" t="inlineStr">
        <is>
          <t>PROD-DSCluster</t>
        </is>
      </c>
      <c r="E5" s="7" t="n">
        <v>10240</v>
      </c>
      <c r="F5" s="7" t="n">
        <v>1100</v>
      </c>
      <c r="G5" s="4" t="inlineStr">
        <is>
          <t>ReadWrite</t>
        </is>
      </c>
      <c r="H5" s="7" t="n">
        <v>14000</v>
      </c>
    </row>
    <row r="6" ht="18" customHeight="1">
      <c r="A6" s="4" t="inlineStr">
        <is>
          <t>PROD-DS-NFS-01</t>
        </is>
      </c>
      <c r="B6" s="5" t="inlineStr">
        <is>
          <t>Green</t>
        </is>
      </c>
      <c r="C6" s="4" t="inlineStr">
        <is>
          <t>NFS</t>
        </is>
      </c>
      <c r="D6" s="4" t="inlineStr"/>
      <c r="E6" s="7" t="n">
        <v>5120</v>
      </c>
      <c r="F6" s="7" t="n">
        <v>1800</v>
      </c>
      <c r="G6" s="4" t="inlineStr">
        <is>
          <t>ReadWrite</t>
        </is>
      </c>
      <c r="H6" s="7" t="n">
        <v>4500</v>
      </c>
    </row>
    <row r="7" ht="18" customHeight="1">
      <c r="A7" s="4" t="inlineStr">
        <is>
          <t>PROD-DS-SAN-03</t>
        </is>
      </c>
      <c r="B7" s="5" t="inlineStr">
        <is>
          <t>Green</t>
        </is>
      </c>
      <c r="C7" s="4" t="inlineStr">
        <is>
          <t>VMFS</t>
        </is>
      </c>
      <c r="D7" s="4" t="inlineStr">
        <is>
          <t>PROD-DSCluster2</t>
        </is>
      </c>
      <c r="E7" s="7" t="n">
        <v>8192</v>
      </c>
      <c r="F7" s="7" t="n">
        <v>3500</v>
      </c>
      <c r="G7" s="4" t="inlineStr">
        <is>
          <t>ReadWrite</t>
        </is>
      </c>
      <c r="H7" s="7" t="n">
        <v>7000</v>
      </c>
    </row>
    <row r="8" ht="18" customHeight="1">
      <c r="A8" s="4" t="inlineStr">
        <is>
          <t>PROD-DS-SAN-04</t>
        </is>
      </c>
      <c r="B8" s="11" t="inlineStr">
        <is>
          <t>Red</t>
        </is>
      </c>
      <c r="C8" s="4" t="inlineStr">
        <is>
          <t>VMFS</t>
        </is>
      </c>
      <c r="D8" s="4" t="inlineStr">
        <is>
          <t>PROD-DSCluster2</t>
        </is>
      </c>
      <c r="E8" s="7" t="n">
        <v>8192</v>
      </c>
      <c r="F8" s="7" t="n">
        <v>400</v>
      </c>
      <c r="G8" s="4" t="inlineStr">
        <is>
          <t>ReadWrite</t>
        </is>
      </c>
      <c r="H8" s="7" t="n">
        <v>10000</v>
      </c>
    </row>
    <row r="9" ht="18" customHeight="1">
      <c r="A9" s="4" t="inlineStr">
        <is>
          <t>PROD-DS-VSAN</t>
        </is>
      </c>
      <c r="B9" s="5" t="inlineStr">
        <is>
          <t>Green</t>
        </is>
      </c>
      <c r="C9" s="4" t="inlineStr">
        <is>
          <t>vSAN</t>
        </is>
      </c>
      <c r="D9" s="4" t="inlineStr"/>
      <c r="E9" s="7" t="n">
        <v>15360</v>
      </c>
      <c r="F9" s="7" t="n">
        <v>6000</v>
      </c>
      <c r="G9" s="4" t="inlineStr">
        <is>
          <t>ReadWrite</t>
        </is>
      </c>
      <c r="H9" s="7" t="n">
        <v>12000</v>
      </c>
    </row>
    <row r="10" ht="18" customHeight="1">
      <c r="A10" s="4" t="inlineStr">
        <is>
          <t>DEV-DS-NFS</t>
        </is>
      </c>
      <c r="B10" s="5" t="inlineStr">
        <is>
          <t>Green</t>
        </is>
      </c>
      <c r="C10" s="4" t="inlineStr">
        <is>
          <t>NFS</t>
        </is>
      </c>
      <c r="D10" s="4" t="inlineStr">
        <is>
          <t>DEV-DSCluster</t>
        </is>
      </c>
      <c r="E10" s="7" t="n">
        <v>4096</v>
      </c>
      <c r="F10" s="7" t="n">
        <v>2100</v>
      </c>
      <c r="G10" s="4" t="inlineStr">
        <is>
          <t>ReadWrite</t>
        </is>
      </c>
      <c r="H10" s="7" t="n">
        <v>2800</v>
      </c>
    </row>
    <row r="11" ht="18" customHeight="1">
      <c r="A11" s="4" t="inlineStr">
        <is>
          <t>DEV-DS-SAN</t>
        </is>
      </c>
      <c r="B11" s="5" t="inlineStr">
        <is>
          <t>Green</t>
        </is>
      </c>
      <c r="C11" s="4" t="inlineStr">
        <is>
          <t>VMFS</t>
        </is>
      </c>
      <c r="D11" s="4" t="inlineStr">
        <is>
          <t>DEV-DSCluster</t>
        </is>
      </c>
      <c r="E11" s="7" t="n">
        <v>2048</v>
      </c>
      <c r="F11" s="7" t="n">
        <v>800</v>
      </c>
      <c r="G11" s="4" t="inlineStr">
        <is>
          <t>ReadWrite</t>
        </is>
      </c>
      <c r="H11" s="7" t="n">
        <v>1800</v>
      </c>
    </row>
    <row r="12" ht="18" customHeight="1">
      <c r="A12" s="4" t="inlineStr">
        <is>
          <t>ARCHIVE-DS</t>
        </is>
      </c>
      <c r="B12" s="5" t="inlineStr">
        <is>
          <t>Green</t>
        </is>
      </c>
      <c r="C12" s="4" t="inlineStr">
        <is>
          <t>NFS</t>
        </is>
      </c>
      <c r="D12" s="4" t="inlineStr"/>
      <c r="E12" s="7" t="n">
        <v>20480</v>
      </c>
      <c r="F12" s="7" t="n">
        <v>8000</v>
      </c>
      <c r="G12" s="4" t="inlineStr">
        <is>
          <t>ReadWrite</t>
        </is>
      </c>
      <c r="H12" s="7" t="n">
        <v>15000</v>
      </c>
    </row>
    <row r="13" ht="18" customHeight="1">
      <c r="A13" s="4" t="inlineStr">
        <is>
          <t>DR-DS-SAN</t>
        </is>
      </c>
      <c r="B13" s="5" t="inlineStr">
        <is>
          <t>Green</t>
        </is>
      </c>
      <c r="C13" s="4" t="inlineStr">
        <is>
          <t>VMFS</t>
        </is>
      </c>
      <c r="D13" s="4" t="inlineStr">
        <is>
          <t>DR-DSCluster</t>
        </is>
      </c>
      <c r="E13" s="7" t="n">
        <v>12288</v>
      </c>
      <c r="F13" s="7" t="n">
        <v>9000</v>
      </c>
      <c r="G13" s="4" t="inlineStr">
        <is>
          <t>ReadWrite</t>
        </is>
      </c>
      <c r="H13" s="7" t="n">
        <v>8000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/>
  </sheetPr>
  <dimension ref="A1:L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24" customWidth="1" min="4" max="4"/>
    <col width="22" customWidth="1" min="5" max="5"/>
    <col width="18" customWidth="1" min="6" max="6"/>
    <col width="14" customWidth="1" min="7" max="7"/>
    <col width="12" customWidth="1" min="8" max="8"/>
    <col width="12" customWidth="1" min="9" max="9"/>
    <col width="14" customWidth="1" min="10" max="10"/>
    <col width="8" customWidth="1" min="11" max="11"/>
    <col width="8" customWidth="1" min="12" max="12"/>
  </cols>
  <sheetData>
    <row r="1" ht="50" customHeight="1">
      <c r="A1" s="1" t="inlineStr">
        <is>
          <t>⚡  MACHINES VIRTUELLES – Export vCenter 8  |  Alimenté par Power Query</t>
        </is>
      </c>
    </row>
    <row r="2" ht="16" customHeight="1">
      <c r="A2" s="2" t="inlineStr">
        <is>
          <t>⚠️  NE PAS MODIFIER  |  Rafraîchir via Données → Actualiser tout  |  Prévu pour 2000+ VMs</t>
        </is>
      </c>
    </row>
    <row r="3" ht="28" customHeight="1">
      <c r="A3" s="12" t="inlineStr">
        <is>
          <t>Name</t>
        </is>
      </c>
      <c r="B3" s="12" t="inlineStr">
        <is>
          <t>State</t>
        </is>
      </c>
      <c r="C3" s="12" t="inlineStr">
        <is>
          <t>Status</t>
        </is>
      </c>
      <c r="D3" s="12" t="inlineStr">
        <is>
          <t>Host</t>
        </is>
      </c>
      <c r="E3" s="12" t="inlineStr">
        <is>
          <t>Cluster</t>
        </is>
      </c>
      <c r="F3" s="12" t="inlineStr">
        <is>
          <t>Provisioned Space</t>
        </is>
      </c>
      <c r="G3" s="12" t="inlineStr">
        <is>
          <t>Used Space</t>
        </is>
      </c>
      <c r="H3" s="12" t="inlineStr">
        <is>
          <t>Host CPU</t>
        </is>
      </c>
      <c r="I3" s="12" t="inlineStr">
        <is>
          <t>Host Mem</t>
        </is>
      </c>
      <c r="J3" s="12" t="inlineStr">
        <is>
          <t>Active Memory</t>
        </is>
      </c>
      <c r="K3" s="12" t="inlineStr">
        <is>
          <t>CPUs</t>
        </is>
      </c>
      <c r="L3" s="12" t="inlineStr">
        <is>
          <t>NICs</t>
        </is>
      </c>
    </row>
    <row r="4" ht="18" customHeight="1">
      <c r="A4" s="4" t="inlineStr">
        <is>
          <t>vm-web-prod-01</t>
        </is>
      </c>
      <c r="B4" s="5" t="inlineStr">
        <is>
          <t>poweredOn</t>
        </is>
      </c>
      <c r="C4" s="5" t="inlineStr">
        <is>
          <t>Green</t>
        </is>
      </c>
      <c r="D4" s="4" t="inlineStr">
        <is>
          <t>esxi-prod-01</t>
        </is>
      </c>
      <c r="E4" s="4" t="inlineStr">
        <is>
          <t>PROD-Cluster-01</t>
        </is>
      </c>
      <c r="F4" s="7" t="n">
        <v>120</v>
      </c>
      <c r="G4" s="7" t="n">
        <v>85</v>
      </c>
      <c r="H4" s="7" t="n">
        <v>500</v>
      </c>
      <c r="I4" s="7" t="n">
        <v>4096</v>
      </c>
      <c r="J4" s="7" t="n">
        <v>3500</v>
      </c>
      <c r="K4" s="4" t="n">
        <v>4</v>
      </c>
      <c r="L4" s="4" t="n">
        <v>2</v>
      </c>
    </row>
    <row r="5" ht="18" customHeight="1">
      <c r="A5" s="4" t="inlineStr">
        <is>
          <t>vm-db-prod-01</t>
        </is>
      </c>
      <c r="B5" s="5" t="inlineStr">
        <is>
          <t>poweredOn</t>
        </is>
      </c>
      <c r="C5" s="5" t="inlineStr">
        <is>
          <t>Green</t>
        </is>
      </c>
      <c r="D5" s="4" t="inlineStr">
        <is>
          <t>esxi-prod-01</t>
        </is>
      </c>
      <c r="E5" s="4" t="inlineStr">
        <is>
          <t>PROD-Cluster-01</t>
        </is>
      </c>
      <c r="F5" s="7" t="n">
        <v>500</v>
      </c>
      <c r="G5" s="7" t="n">
        <v>420</v>
      </c>
      <c r="H5" s="7" t="n">
        <v>1800</v>
      </c>
      <c r="I5" s="7" t="n">
        <v>32768</v>
      </c>
      <c r="J5" s="7" t="n">
        <v>28000</v>
      </c>
      <c r="K5" s="4" t="n">
        <v>8</v>
      </c>
      <c r="L5" s="4" t="n">
        <v>2</v>
      </c>
    </row>
    <row r="6" ht="18" customHeight="1">
      <c r="A6" s="4" t="inlineStr">
        <is>
          <t>vm-app-prod-01</t>
        </is>
      </c>
      <c r="B6" s="5" t="inlineStr">
        <is>
          <t>poweredOn</t>
        </is>
      </c>
      <c r="C6" s="5" t="inlineStr">
        <is>
          <t>Green</t>
        </is>
      </c>
      <c r="D6" s="4" t="inlineStr">
        <is>
          <t>esxi-prod-02</t>
        </is>
      </c>
      <c r="E6" s="4" t="inlineStr">
        <is>
          <t>PROD-Cluster-01</t>
        </is>
      </c>
      <c r="F6" s="7" t="n">
        <v>200</v>
      </c>
      <c r="G6" s="7" t="n">
        <v>150</v>
      </c>
      <c r="H6" s="7" t="n">
        <v>800</v>
      </c>
      <c r="I6" s="7" t="n">
        <v>16384</v>
      </c>
      <c r="J6" s="7" t="n">
        <v>12000</v>
      </c>
      <c r="K6" s="4" t="n">
        <v>4</v>
      </c>
      <c r="L6" s="4" t="n">
        <v>2</v>
      </c>
    </row>
    <row r="7" ht="18" customHeight="1">
      <c r="A7" s="4" t="inlineStr">
        <is>
          <t>vm-app-prod-02</t>
        </is>
      </c>
      <c r="B7" s="5" t="inlineStr">
        <is>
          <t>poweredOn</t>
        </is>
      </c>
      <c r="C7" s="8" t="inlineStr">
        <is>
          <t>Yellow</t>
        </is>
      </c>
      <c r="D7" s="4" t="inlineStr">
        <is>
          <t>esxi-prod-02</t>
        </is>
      </c>
      <c r="E7" s="4" t="inlineStr">
        <is>
          <t>PROD-Cluster-01</t>
        </is>
      </c>
      <c r="F7" s="7" t="n">
        <v>200</v>
      </c>
      <c r="G7" s="7" t="n">
        <v>160</v>
      </c>
      <c r="H7" s="7" t="n">
        <v>900</v>
      </c>
      <c r="I7" s="7" t="n">
        <v>16384</v>
      </c>
      <c r="J7" s="7" t="n">
        <v>13000</v>
      </c>
      <c r="K7" s="4" t="n">
        <v>4</v>
      </c>
      <c r="L7" s="4" t="n">
        <v>2</v>
      </c>
    </row>
    <row r="8" ht="18" customHeight="1">
      <c r="A8" s="4" t="inlineStr">
        <is>
          <t>vm-api-prod-01</t>
        </is>
      </c>
      <c r="B8" s="5" t="inlineStr">
        <is>
          <t>poweredOn</t>
        </is>
      </c>
      <c r="C8" s="5" t="inlineStr">
        <is>
          <t>Green</t>
        </is>
      </c>
      <c r="D8" s="4" t="inlineStr">
        <is>
          <t>esxi-prod-03</t>
        </is>
      </c>
      <c r="E8" s="4" t="inlineStr">
        <is>
          <t>PROD-Cluster-01</t>
        </is>
      </c>
      <c r="F8" s="7" t="n">
        <v>80</v>
      </c>
      <c r="G8" s="7" t="n">
        <v>55</v>
      </c>
      <c r="H8" s="7" t="n">
        <v>300</v>
      </c>
      <c r="I8" s="7" t="n">
        <v>8192</v>
      </c>
      <c r="J8" s="7" t="n">
        <v>6000</v>
      </c>
      <c r="K8" s="4" t="n">
        <v>2</v>
      </c>
      <c r="L8" s="4" t="n">
        <v>1</v>
      </c>
    </row>
    <row r="9" ht="18" customHeight="1">
      <c r="A9" s="4" t="inlineStr">
        <is>
          <t>vm-db-prod-02</t>
        </is>
      </c>
      <c r="B9" s="5" t="inlineStr">
        <is>
          <t>poweredOn</t>
        </is>
      </c>
      <c r="C9" s="5" t="inlineStr">
        <is>
          <t>Green</t>
        </is>
      </c>
      <c r="D9" s="4" t="inlineStr">
        <is>
          <t>esxi-prod-04</t>
        </is>
      </c>
      <c r="E9" s="4" t="inlineStr">
        <is>
          <t>PROD-Cluster-02</t>
        </is>
      </c>
      <c r="F9" s="7" t="n">
        <v>800</v>
      </c>
      <c r="G9" s="7" t="n">
        <v>650</v>
      </c>
      <c r="H9" s="7" t="n">
        <v>2200</v>
      </c>
      <c r="I9" s="7" t="n">
        <v>65536</v>
      </c>
      <c r="J9" s="7" t="n">
        <v>55000</v>
      </c>
      <c r="K9" s="4" t="n">
        <v>8</v>
      </c>
      <c r="L9" s="4" t="n">
        <v>2</v>
      </c>
    </row>
    <row r="10" ht="18" customHeight="1">
      <c r="A10" s="4" t="inlineStr">
        <is>
          <t>vm-erp-prod-01</t>
        </is>
      </c>
      <c r="B10" s="5" t="inlineStr">
        <is>
          <t>poweredOn</t>
        </is>
      </c>
      <c r="C10" s="5" t="inlineStr">
        <is>
          <t>Green</t>
        </is>
      </c>
      <c r="D10" s="4" t="inlineStr">
        <is>
          <t>esxi-prod-04</t>
        </is>
      </c>
      <c r="E10" s="4" t="inlineStr">
        <is>
          <t>PROD-Cluster-02</t>
        </is>
      </c>
      <c r="F10" s="7" t="n">
        <v>600</v>
      </c>
      <c r="G10" s="7" t="n">
        <v>520</v>
      </c>
      <c r="H10" s="7" t="n">
        <v>1800</v>
      </c>
      <c r="I10" s="7" t="n">
        <v>65536</v>
      </c>
      <c r="J10" s="7" t="n">
        <v>50000</v>
      </c>
      <c r="K10" s="4" t="n">
        <v>16</v>
      </c>
      <c r="L10" s="4" t="n">
        <v>4</v>
      </c>
    </row>
    <row r="11" ht="18" customHeight="1">
      <c r="A11" s="4" t="inlineStr">
        <is>
          <t>vm-backup-01</t>
        </is>
      </c>
      <c r="B11" s="5" t="inlineStr">
        <is>
          <t>poweredOn</t>
        </is>
      </c>
      <c r="C11" s="5" t="inlineStr">
        <is>
          <t>Green</t>
        </is>
      </c>
      <c r="D11" s="4" t="inlineStr">
        <is>
          <t>esxi-prod-05</t>
        </is>
      </c>
      <c r="E11" s="4" t="inlineStr">
        <is>
          <t>PROD-Cluster-02</t>
        </is>
      </c>
      <c r="F11" s="7" t="n">
        <v>2000</v>
      </c>
      <c r="G11" s="7" t="n">
        <v>1800</v>
      </c>
      <c r="H11" s="7" t="n">
        <v>400</v>
      </c>
      <c r="I11" s="7" t="n">
        <v>16384</v>
      </c>
      <c r="J11" s="7" t="n">
        <v>8000</v>
      </c>
      <c r="K11" s="4" t="n">
        <v>4</v>
      </c>
      <c r="L11" s="4" t="n">
        <v>2</v>
      </c>
    </row>
    <row r="12" ht="18" customHeight="1">
      <c r="A12" s="4" t="inlineStr">
        <is>
          <t>vm-erp-prod-02</t>
        </is>
      </c>
      <c r="B12" s="5" t="inlineStr">
        <is>
          <t>poweredOn</t>
        </is>
      </c>
      <c r="C12" s="5" t="inlineStr">
        <is>
          <t>Green</t>
        </is>
      </c>
      <c r="D12" s="4" t="inlineStr">
        <is>
          <t>esxi-prod-05</t>
        </is>
      </c>
      <c r="E12" s="4" t="inlineStr">
        <is>
          <t>PROD-Cluster-02</t>
        </is>
      </c>
      <c r="F12" s="7" t="n">
        <v>400</v>
      </c>
      <c r="G12" s="7" t="n">
        <v>350</v>
      </c>
      <c r="H12" s="7" t="n">
        <v>1200</v>
      </c>
      <c r="I12" s="7" t="n">
        <v>32768</v>
      </c>
      <c r="J12" s="7" t="n">
        <v>28000</v>
      </c>
      <c r="K12" s="4" t="n">
        <v>8</v>
      </c>
      <c r="L12" s="4" t="n">
        <v>2</v>
      </c>
    </row>
    <row r="13" ht="18" customHeight="1">
      <c r="A13" s="4" t="inlineStr">
        <is>
          <t>vm-middleware-01</t>
        </is>
      </c>
      <c r="B13" s="5" t="inlineStr">
        <is>
          <t>poweredOn</t>
        </is>
      </c>
      <c r="C13" s="5" t="inlineStr">
        <is>
          <t>Green</t>
        </is>
      </c>
      <c r="D13" s="4" t="inlineStr">
        <is>
          <t>esxi-prod-06</t>
        </is>
      </c>
      <c r="E13" s="4" t="inlineStr">
        <is>
          <t>PROD-Cluster-02</t>
        </is>
      </c>
      <c r="F13" s="7" t="n">
        <v>180</v>
      </c>
      <c r="G13" s="7" t="n">
        <v>120</v>
      </c>
      <c r="H13" s="7" t="n">
        <v>700</v>
      </c>
      <c r="I13" s="7" t="n">
        <v>16384</v>
      </c>
      <c r="J13" s="7" t="n">
        <v>10000</v>
      </c>
      <c r="K13" s="4" t="n">
        <v>4</v>
      </c>
      <c r="L13" s="4" t="n">
        <v>2</v>
      </c>
    </row>
    <row r="14" ht="18" customHeight="1">
      <c r="A14" s="4" t="inlineStr">
        <is>
          <t>vm-dev-01</t>
        </is>
      </c>
      <c r="B14" s="5" t="inlineStr">
        <is>
          <t>poweredOn</t>
        </is>
      </c>
      <c r="C14" s="5" t="inlineStr">
        <is>
          <t>Green</t>
        </is>
      </c>
      <c r="D14" s="4" t="inlineStr">
        <is>
          <t>esxi-dev-01</t>
        </is>
      </c>
      <c r="E14" s="4" t="inlineStr">
        <is>
          <t>DEV-Cluster-01</t>
        </is>
      </c>
      <c r="F14" s="7" t="n">
        <v>80</v>
      </c>
      <c r="G14" s="7" t="n">
        <v>40</v>
      </c>
      <c r="H14" s="7" t="n">
        <v>200</v>
      </c>
      <c r="I14" s="7" t="n">
        <v>8192</v>
      </c>
      <c r="J14" s="7" t="n">
        <v>5000</v>
      </c>
      <c r="K14" s="4" t="n">
        <v>2</v>
      </c>
      <c r="L14" s="4" t="n">
        <v>1</v>
      </c>
    </row>
    <row r="15" ht="18" customHeight="1">
      <c r="A15" s="4" t="inlineStr">
        <is>
          <t>vm-dev-02</t>
        </is>
      </c>
      <c r="B15" s="13" t="inlineStr">
        <is>
          <t>poweredOff</t>
        </is>
      </c>
      <c r="C15" s="5" t="inlineStr">
        <is>
          <t>Green</t>
        </is>
      </c>
      <c r="D15" s="4" t="inlineStr">
        <is>
          <t>esxi-dev-01</t>
        </is>
      </c>
      <c r="E15" s="4" t="inlineStr">
        <is>
          <t>DEV-Cluster-01</t>
        </is>
      </c>
      <c r="F15" s="7" t="n">
        <v>120</v>
      </c>
      <c r="G15" s="7" t="n">
        <v>100</v>
      </c>
      <c r="H15" s="7" t="n">
        <v>0</v>
      </c>
      <c r="I15" s="7" t="n">
        <v>0</v>
      </c>
      <c r="J15" s="7" t="n">
        <v>0</v>
      </c>
      <c r="K15" s="4" t="n">
        <v>4</v>
      </c>
      <c r="L15" s="4" t="n">
        <v>2</v>
      </c>
    </row>
    <row r="16" ht="18" customHeight="1">
      <c r="A16" s="4" t="inlineStr">
        <is>
          <t>vm-test-01</t>
        </is>
      </c>
      <c r="B16" s="5" t="inlineStr">
        <is>
          <t>poweredOn</t>
        </is>
      </c>
      <c r="C16" s="8" t="inlineStr">
        <is>
          <t>Yellow</t>
        </is>
      </c>
      <c r="D16" s="4" t="inlineStr">
        <is>
          <t>esxi-dev-02</t>
        </is>
      </c>
      <c r="E16" s="4" t="inlineStr">
        <is>
          <t>DEV-Cluster-01</t>
        </is>
      </c>
      <c r="F16" s="7" t="n">
        <v>60</v>
      </c>
      <c r="G16" s="7" t="n">
        <v>30</v>
      </c>
      <c r="H16" s="7" t="n">
        <v>100</v>
      </c>
      <c r="I16" s="7" t="n">
        <v>4096</v>
      </c>
      <c r="J16" s="7" t="n">
        <v>2000</v>
      </c>
      <c r="K16" s="4" t="n">
        <v>2</v>
      </c>
      <c r="L16" s="4" t="n">
        <v>1</v>
      </c>
    </row>
    <row r="17" ht="18" customHeight="1">
      <c r="A17" s="4" t="inlineStr">
        <is>
          <t>vm-test-02</t>
        </is>
      </c>
      <c r="B17" s="13" t="inlineStr">
        <is>
          <t>poweredOff</t>
        </is>
      </c>
      <c r="C17" s="11" t="inlineStr">
        <is>
          <t>Red</t>
        </is>
      </c>
      <c r="D17" s="4" t="inlineStr">
        <is>
          <t>esxi-dev-02</t>
        </is>
      </c>
      <c r="E17" s="4" t="inlineStr">
        <is>
          <t>DEV-Cluster-01</t>
        </is>
      </c>
      <c r="F17" s="7" t="n">
        <v>60</v>
      </c>
      <c r="G17" s="7" t="n">
        <v>25</v>
      </c>
      <c r="H17" s="7" t="n">
        <v>0</v>
      </c>
      <c r="I17" s="7" t="n">
        <v>0</v>
      </c>
      <c r="J17" s="7" t="n">
        <v>0</v>
      </c>
      <c r="K17" s="4" t="n">
        <v>2</v>
      </c>
      <c r="L17" s="4" t="n">
        <v>1</v>
      </c>
    </row>
    <row r="18" ht="18" customHeight="1">
      <c r="A18" s="4" t="inlineStr">
        <is>
          <t>vm-ci-01</t>
        </is>
      </c>
      <c r="B18" s="5" t="inlineStr">
        <is>
          <t>poweredOn</t>
        </is>
      </c>
      <c r="C18" s="5" t="inlineStr">
        <is>
          <t>Green</t>
        </is>
      </c>
      <c r="D18" s="4" t="inlineStr">
        <is>
          <t>esxi-dev-03</t>
        </is>
      </c>
      <c r="E18" s="4" t="inlineStr">
        <is>
          <t>DEV-Cluster-01</t>
        </is>
      </c>
      <c r="F18" s="7" t="n">
        <v>200</v>
      </c>
      <c r="G18" s="7" t="n">
        <v>150</v>
      </c>
      <c r="H18" s="7" t="n">
        <v>400</v>
      </c>
      <c r="I18" s="7" t="n">
        <v>8192</v>
      </c>
      <c r="J18" s="7" t="n">
        <v>6000</v>
      </c>
      <c r="K18" s="4" t="n">
        <v>4</v>
      </c>
      <c r="L18" s="4" t="n">
        <v>2</v>
      </c>
    </row>
    <row r="19" ht="18" customHeight="1">
      <c r="A19" s="4" t="inlineStr">
        <is>
          <t>vm-dr-01</t>
        </is>
      </c>
      <c r="B19" s="13" t="inlineStr">
        <is>
          <t>poweredOff</t>
        </is>
      </c>
      <c r="C19" s="5" t="inlineStr">
        <is>
          <t>Green</t>
        </is>
      </c>
      <c r="D19" s="4" t="inlineStr">
        <is>
          <t>esxi-dr-01</t>
        </is>
      </c>
      <c r="E19" s="4" t="inlineStr">
        <is>
          <t>DR-Cluster-01</t>
        </is>
      </c>
      <c r="F19" s="7" t="n">
        <v>500</v>
      </c>
      <c r="G19" s="7" t="n">
        <v>480</v>
      </c>
      <c r="H19" s="7" t="n">
        <v>0</v>
      </c>
      <c r="I19" s="7" t="n">
        <v>0</v>
      </c>
      <c r="J19" s="7" t="n">
        <v>0</v>
      </c>
      <c r="K19" s="4" t="n">
        <v>8</v>
      </c>
      <c r="L19" s="4" t="n">
        <v>2</v>
      </c>
    </row>
    <row r="20" ht="18" customHeight="1">
      <c r="A20" s="4" t="inlineStr">
        <is>
          <t>vm-dr-02</t>
        </is>
      </c>
      <c r="B20" s="13" t="inlineStr">
        <is>
          <t>poweredOff</t>
        </is>
      </c>
      <c r="C20" s="5" t="inlineStr">
        <is>
          <t>Green</t>
        </is>
      </c>
      <c r="D20" s="4" t="inlineStr">
        <is>
          <t>esxi-dr-01</t>
        </is>
      </c>
      <c r="E20" s="4" t="inlineStr">
        <is>
          <t>DR-Cluster-01</t>
        </is>
      </c>
      <c r="F20" s="7" t="n">
        <v>300</v>
      </c>
      <c r="G20" s="7" t="n">
        <v>280</v>
      </c>
      <c r="H20" s="7" t="n">
        <v>0</v>
      </c>
      <c r="I20" s="7" t="n">
        <v>0</v>
      </c>
      <c r="J20" s="7" t="n">
        <v>0</v>
      </c>
      <c r="K20" s="4" t="n">
        <v>4</v>
      </c>
      <c r="L20" s="4" t="n">
        <v>2</v>
      </c>
    </row>
    <row r="22">
      <c r="A22" s="14" t="inlineStr">
        <is>
          <t>💡  Tableau prévu pour 2000+ VMs. Alimenté par Power Query.</t>
        </is>
      </c>
    </row>
  </sheetData>
  <mergeCells count="3">
    <mergeCell ref="A2:L2"/>
    <mergeCell ref="A22:L2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E65100"/>
    <outlinePr summaryBelow="1" summaryRight="1"/>
    <pageSetUpPr/>
  </sheetPr>
  <dimension ref="A1:R6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50" customHeight="1">
      <c r="A1" s="1" t="inlineStr">
        <is>
          <t>📊  ANALYSE CAPACITÉ – COMPUTE (CPU &amp; RAM)</t>
        </is>
      </c>
    </row>
    <row r="2" ht="16" customHeight="1">
      <c r="A2" s="2" t="inlineStr">
        <is>
          <t>✅ 100% automatique | Clusters extraits de tHosts | Recalcul instantané après actualisation Power Query</t>
        </is>
      </c>
    </row>
    <row r="4" ht="20" customHeight="1">
      <c r="A4" s="15" t="inlineStr">
        <is>
          <t xml:space="preserve">  📊  INDICATEURS GLOBAUX</t>
        </is>
      </c>
    </row>
    <row r="5" ht="18" customHeight="1">
      <c r="A5" s="16" t="inlineStr">
        <is>
          <t>Hosts connectés</t>
        </is>
      </c>
      <c r="B5" s="17" t="n"/>
      <c r="D5" s="16" t="inlineStr">
        <is>
          <t>Total CPUs</t>
        </is>
      </c>
      <c r="E5" s="17" t="n"/>
      <c r="G5" s="18" t="inlineStr">
        <is>
          <t>CPU cons. moy.</t>
        </is>
      </c>
      <c r="H5" s="17" t="n"/>
      <c r="J5" s="19" t="inlineStr">
        <is>
          <t>CPU libre moy.</t>
        </is>
      </c>
      <c r="K5" s="17" t="n"/>
      <c r="M5" s="16" t="inlineStr">
        <is>
          <t>RAM Totale</t>
        </is>
      </c>
      <c r="N5" s="17" t="n"/>
      <c r="P5" s="20" t="inlineStr">
        <is>
          <t>RAM Utilisée</t>
        </is>
      </c>
      <c r="Q5" s="17" t="n"/>
    </row>
    <row r="6" ht="40" customHeight="1">
      <c r="A6" s="21">
        <f>COUNTIF(tHosts[State],"Connected")</f>
        <v/>
      </c>
      <c r="B6" s="17" t="n"/>
      <c r="D6" s="21">
        <f>SUMIF(tHosts[State],"Connected",tHosts[CPUs])</f>
        <v/>
      </c>
      <c r="E6" s="17" t="n"/>
      <c r="G6" s="22">
        <f>IFERROR(AVERAGEIF(tHosts[State],"Connected",tHosts[Consumed CPU %])/100,0)</f>
        <v/>
      </c>
      <c r="H6" s="17" t="n"/>
      <c r="J6" s="23">
        <f>IFERROR(1-AVERAGEIF(tHosts[State],"Connected",tHosts[Consumed CPU %])/100,0)</f>
        <v/>
      </c>
      <c r="K6" s="17" t="n"/>
      <c r="M6" s="21">
        <f>IFERROR(ROUND(SUMIF(tHosts[State],"Connected",tHosts[Memory Size (MB)])/1024,0),0)</f>
        <v/>
      </c>
      <c r="N6" s="17" t="n"/>
      <c r="P6" s="24">
        <f>IFERROR(ROUND(SUMPRODUCT((tHosts[State]="Connected")*tHosts[Memory Size (MB)]*tHosts[Consumed Memory %]/100)/1024,0),0)</f>
        <v/>
      </c>
      <c r="Q6" s="17" t="n"/>
    </row>
    <row r="7" ht="14" customHeight="1">
      <c r="A7" s="25" t="inlineStr">
        <is>
          <t>actifs</t>
        </is>
      </c>
      <c r="B7" s="17" t="n"/>
      <c r="D7" s="25" t="inlineStr">
        <is>
          <t>logiques</t>
        </is>
      </c>
      <c r="E7" s="17" t="n"/>
      <c r="G7" s="26" t="inlineStr">
        <is>
          <t>moy. cluster</t>
        </is>
      </c>
      <c r="H7" s="17" t="n"/>
      <c r="J7" s="27" t="inlineStr">
        <is>
          <t>moy. cluster</t>
        </is>
      </c>
      <c r="K7" s="17" t="n"/>
      <c r="M7" s="25" t="inlineStr">
        <is>
          <t>GB total</t>
        </is>
      </c>
      <c r="N7" s="17" t="n"/>
      <c r="P7" s="28" t="inlineStr">
        <is>
          <t>GB consommés</t>
        </is>
      </c>
      <c r="Q7" s="17" t="n"/>
    </row>
    <row r="9" ht="20" customHeight="1">
      <c r="A9" s="29" t="inlineStr">
        <is>
          <t xml:space="preserve">  📋  RÉSUMÉ PAR CLUSTER  ✅ Automatique — clusters extraits de tHosts</t>
        </is>
      </c>
    </row>
    <row r="10">
      <c r="A10" s="9" t="inlineStr">
        <is>
          <t>✅  Les clusters sont extraits automatiquement depuis tHosts via formule INDEX/MATCH. Aucune saisie requise. Actualisez vos données Power Query pour mettre à jour.</t>
        </is>
      </c>
    </row>
    <row r="11" ht="26" customHeight="1">
      <c r="A11" s="3" t="inlineStr">
        <is>
          <t>Cluster</t>
        </is>
      </c>
      <c r="B11" s="3" t="inlineStr">
        <is>
          <t>Hosts</t>
        </is>
      </c>
      <c r="C11" s="3" t="inlineStr">
        <is>
          <t>Total CPUs</t>
        </is>
      </c>
      <c r="D11" s="3" t="inlineStr">
        <is>
          <t>CPU Cons.%</t>
        </is>
      </c>
      <c r="E11" s="3" t="inlineStr">
        <is>
          <t>CPU Libre%</t>
        </is>
      </c>
      <c r="F11" s="3" t="inlineStr">
        <is>
          <t>Statut CPU</t>
        </is>
      </c>
      <c r="G11" s="3" t="inlineStr">
        <is>
          <t>Cœurs libres</t>
        </is>
      </c>
      <c r="H11" s="3" t="inlineStr">
        <is>
          <t>RAM Tot.(GB)</t>
        </is>
      </c>
      <c r="I11" s="3" t="inlineStr">
        <is>
          <t>RAM Cons.(GB)</t>
        </is>
      </c>
      <c r="J11" s="3" t="inlineStr">
        <is>
          <t>RAM Libre%</t>
        </is>
      </c>
      <c r="K11" s="3" t="inlineStr">
        <is>
          <t>Statut RAM</t>
        </is>
      </c>
      <c r="L11" s="3" t="inlineStr">
        <is>
          <t>VMs</t>
        </is>
      </c>
      <c r="M11" s="3" t="inlineStr">
        <is>
          <t>Prov. Stg.(GB)</t>
        </is>
      </c>
      <c r="N11" s="3" t="inlineStr">
        <is>
          <t>Used Stg.(GB)</t>
        </is>
      </c>
      <c r="O11" s="3" t="inlineStr">
        <is>
          <t>Alerte globale</t>
        </is>
      </c>
    </row>
    <row r="12" ht="19" customHeight="1">
      <c r="A12" s="30">
        <f>IFERROR(INDEX(tHosts[Cluster],MATCH(0,COUNTIF($A$12,tHosts[Cluster]),0)),"")</f>
        <v/>
      </c>
      <c r="B12" s="31">
        <f>IF(A12="","",COUNTIF(tHosts[Cluster],A12))</f>
        <v/>
      </c>
      <c r="C12" s="31">
        <f>IF(A12="","",SUMIF(tHosts[Cluster],A12,tHosts[CPUs]))</f>
        <v/>
      </c>
      <c r="D12" s="32">
        <f>IF(A12="","",IFERROR(AVERAGEIF(tHosts[Cluster],A12,tHosts[Consumed CPU %])/100,0))</f>
        <v/>
      </c>
      <c r="E12" s="32">
        <f>IF(A12="","",IFERROR(1-D12,0))</f>
        <v/>
      </c>
      <c r="F12" s="33">
        <f>IF(A12="","",IF(E12&lt;0.2,"🔴 Critique (&lt;20%)",IF(E12&lt;0.3,"⚠️ Warning (&lt;30%)","✅ OK (≥30%)")))</f>
        <v/>
      </c>
      <c r="G12" s="31">
        <f>IF(A12="","",ROUND(SUMPRODUCT((tHosts[Cluster]=A12)*tHosts[CPUs]*(100-tHosts[Consumed CPU %])/100),0))</f>
        <v/>
      </c>
      <c r="H12" s="31">
        <f>IF(A12="","",ROUND(SUMIF(tHosts[Cluster],A12,tHosts[Memory Size (MB)])/1024,0))</f>
        <v/>
      </c>
      <c r="I12" s="31">
        <f>IF(A12="","",ROUND(SUMPRODUCT((tHosts[Cluster]=A12)*tHosts[Memory Size (MB)]*tHosts[Consumed Memory %]/100)/1024,0))</f>
        <v/>
      </c>
      <c r="J12" s="32">
        <f>IF(A12="","",IFERROR(1-I12/H12,0))</f>
        <v/>
      </c>
      <c r="K12" s="33">
        <f>IF(A12="","",IF(J12&lt;0.2,"🔴 Critique (&lt;20%)",IF(J12&lt;0.3,"⚠️ Warning (&lt;30%)","✅ OK (≥30%)")))</f>
        <v/>
      </c>
      <c r="L12" s="31">
        <f>IF(A12="","",COUNTIF(tVMs[Cluster],A12))</f>
        <v/>
      </c>
      <c r="M12" s="31">
        <f>IF(A12="","",SUMIF(tVMs[Cluster],A12,tVMs[Provisioned Space]))</f>
        <v/>
      </c>
      <c r="N12" s="31">
        <f>IF(A12="","",SUMIF(tVMs[Cluster],A12,tVMs[Used Space]))</f>
        <v/>
      </c>
      <c r="O12" s="33">
        <f>IF(A12="","",IF(E12&lt;0.2,"🔴 CPU critique",IF(J12&lt;0.2,"🔴 RAM critique",IF(E12&lt;0.3,"⚠️ CPU warning",IF(J12&lt;0.3,"⚠️ RAM warning","✅ OK")))))</f>
        <v/>
      </c>
    </row>
    <row r="13" ht="19" customHeight="1">
      <c r="A13" s="34">
        <f>IFERROR(INDEX(tHosts[Cluster],MATCH(0,COUNTIF($A$12:$A$12,tHosts[Cluster]),0)),"")</f>
        <v/>
      </c>
      <c r="B13" s="35">
        <f>IF(A13="","",COUNTIF(tHosts[Cluster],A13))</f>
        <v/>
      </c>
      <c r="C13" s="35">
        <f>IF(A13="","",SUMIF(tHosts[Cluster],A13,tHosts[CPUs]))</f>
        <v/>
      </c>
      <c r="D13" s="36">
        <f>IF(A13="","",IFERROR(AVERAGEIF(tHosts[Cluster],A13,tHosts[Consumed CPU %])/100,0))</f>
        <v/>
      </c>
      <c r="E13" s="36">
        <f>IF(A13="","",IFERROR(1-D13,0))</f>
        <v/>
      </c>
      <c r="F13" s="37">
        <f>IF(A13="","",IF(E13&lt;0.2,"🔴 Critique (&lt;20%)",IF(E13&lt;0.3,"⚠️ Warning (&lt;30%)","✅ OK (≥30%)")))</f>
        <v/>
      </c>
      <c r="G13" s="35">
        <f>IF(A13="","",ROUND(SUMPRODUCT((tHosts[Cluster]=A13)*tHosts[CPUs]*(100-tHosts[Consumed CPU %])/100),0))</f>
        <v/>
      </c>
      <c r="H13" s="35">
        <f>IF(A13="","",ROUND(SUMIF(tHosts[Cluster],A13,tHosts[Memory Size (MB)])/1024,0))</f>
        <v/>
      </c>
      <c r="I13" s="35">
        <f>IF(A13="","",ROUND(SUMPRODUCT((tHosts[Cluster]=A13)*tHosts[Memory Size (MB)]*tHosts[Consumed Memory %]/100)/1024,0))</f>
        <v/>
      </c>
      <c r="J13" s="36">
        <f>IF(A13="","",IFERROR(1-I13/H13,0))</f>
        <v/>
      </c>
      <c r="K13" s="37">
        <f>IF(A13="","",IF(J13&lt;0.2,"🔴 Critique (&lt;20%)",IF(J13&lt;0.3,"⚠️ Warning (&lt;30%)","✅ OK (≥30%)")))</f>
        <v/>
      </c>
      <c r="L13" s="35">
        <f>IF(A13="","",COUNTIF(tVMs[Cluster],A13))</f>
        <v/>
      </c>
      <c r="M13" s="35">
        <f>IF(A13="","",SUMIF(tVMs[Cluster],A13,tVMs[Provisioned Space]))</f>
        <v/>
      </c>
      <c r="N13" s="35">
        <f>IF(A13="","",SUMIF(tVMs[Cluster],A13,tVMs[Used Space]))</f>
        <v/>
      </c>
      <c r="O13" s="37">
        <f>IF(A13="","",IF(E13&lt;0.2,"🔴 CPU critique",IF(J13&lt;0.2,"🔴 RAM critique",IF(E13&lt;0.3,"⚠️ CPU warning",IF(J13&lt;0.3,"⚠️ RAM warning","✅ OK")))))</f>
        <v/>
      </c>
    </row>
    <row r="14" ht="19" customHeight="1">
      <c r="A14" s="30">
        <f>IFERROR(INDEX(tHosts[Cluster],MATCH(0,COUNTIF($A$12:$A$13,tHosts[Cluster]),0)),"")</f>
        <v/>
      </c>
      <c r="B14" s="31">
        <f>IF(A14="","",COUNTIF(tHosts[Cluster],A14))</f>
        <v/>
      </c>
      <c r="C14" s="31">
        <f>IF(A14="","",SUMIF(tHosts[Cluster],A14,tHosts[CPUs]))</f>
        <v/>
      </c>
      <c r="D14" s="32">
        <f>IF(A14="","",IFERROR(AVERAGEIF(tHosts[Cluster],A14,tHosts[Consumed CPU %])/100,0))</f>
        <v/>
      </c>
      <c r="E14" s="32">
        <f>IF(A14="","",IFERROR(1-D14,0))</f>
        <v/>
      </c>
      <c r="F14" s="33">
        <f>IF(A14="","",IF(E14&lt;0.2,"🔴 Critique (&lt;20%)",IF(E14&lt;0.3,"⚠️ Warning (&lt;30%)","✅ OK (≥30%)")))</f>
        <v/>
      </c>
      <c r="G14" s="31">
        <f>IF(A14="","",ROUND(SUMPRODUCT((tHosts[Cluster]=A14)*tHosts[CPUs]*(100-tHosts[Consumed CPU %])/100),0))</f>
        <v/>
      </c>
      <c r="H14" s="31">
        <f>IF(A14="","",ROUND(SUMIF(tHosts[Cluster],A14,tHosts[Memory Size (MB)])/1024,0))</f>
        <v/>
      </c>
      <c r="I14" s="31">
        <f>IF(A14="","",ROUND(SUMPRODUCT((tHosts[Cluster]=A14)*tHosts[Memory Size (MB)]*tHosts[Consumed Memory %]/100)/1024,0))</f>
        <v/>
      </c>
      <c r="J14" s="32">
        <f>IF(A14="","",IFERROR(1-I14/H14,0))</f>
        <v/>
      </c>
      <c r="K14" s="33">
        <f>IF(A14="","",IF(J14&lt;0.2,"🔴 Critique (&lt;20%)",IF(J14&lt;0.3,"⚠️ Warning (&lt;30%)","✅ OK (≥30%)")))</f>
        <v/>
      </c>
      <c r="L14" s="31">
        <f>IF(A14="","",COUNTIF(tVMs[Cluster],A14))</f>
        <v/>
      </c>
      <c r="M14" s="31">
        <f>IF(A14="","",SUMIF(tVMs[Cluster],A14,tVMs[Provisioned Space]))</f>
        <v/>
      </c>
      <c r="N14" s="31">
        <f>IF(A14="","",SUMIF(tVMs[Cluster],A14,tVMs[Used Space]))</f>
        <v/>
      </c>
      <c r="O14" s="33">
        <f>IF(A14="","",IF(E14&lt;0.2,"🔴 CPU critique",IF(J14&lt;0.2,"🔴 RAM critique",IF(E14&lt;0.3,"⚠️ CPU warning",IF(J14&lt;0.3,"⚠️ RAM warning","✅ OK")))))</f>
        <v/>
      </c>
    </row>
    <row r="15" ht="19" customHeight="1">
      <c r="A15" s="34">
        <f>IFERROR(INDEX(tHosts[Cluster],MATCH(0,COUNTIF($A$12:$A$14,tHosts[Cluster]),0)),"")</f>
        <v/>
      </c>
      <c r="B15" s="35">
        <f>IF(A15="","",COUNTIF(tHosts[Cluster],A15))</f>
        <v/>
      </c>
      <c r="C15" s="35">
        <f>IF(A15="","",SUMIF(tHosts[Cluster],A15,tHosts[CPUs]))</f>
        <v/>
      </c>
      <c r="D15" s="36">
        <f>IF(A15="","",IFERROR(AVERAGEIF(tHosts[Cluster],A15,tHosts[Consumed CPU %])/100,0))</f>
        <v/>
      </c>
      <c r="E15" s="36">
        <f>IF(A15="","",IFERROR(1-D15,0))</f>
        <v/>
      </c>
      <c r="F15" s="37">
        <f>IF(A15="","",IF(E15&lt;0.2,"🔴 Critique (&lt;20%)",IF(E15&lt;0.3,"⚠️ Warning (&lt;30%)","✅ OK (≥30%)")))</f>
        <v/>
      </c>
      <c r="G15" s="35">
        <f>IF(A15="","",ROUND(SUMPRODUCT((tHosts[Cluster]=A15)*tHosts[CPUs]*(100-tHosts[Consumed CPU %])/100),0))</f>
        <v/>
      </c>
      <c r="H15" s="35">
        <f>IF(A15="","",ROUND(SUMIF(tHosts[Cluster],A15,tHosts[Memory Size (MB)])/1024,0))</f>
        <v/>
      </c>
      <c r="I15" s="35">
        <f>IF(A15="","",ROUND(SUMPRODUCT((tHosts[Cluster]=A15)*tHosts[Memory Size (MB)]*tHosts[Consumed Memory %]/100)/1024,0))</f>
        <v/>
      </c>
      <c r="J15" s="36">
        <f>IF(A15="","",IFERROR(1-I15/H15,0))</f>
        <v/>
      </c>
      <c r="K15" s="37">
        <f>IF(A15="","",IF(J15&lt;0.2,"🔴 Critique (&lt;20%)",IF(J15&lt;0.3,"⚠️ Warning (&lt;30%)","✅ OK (≥30%)")))</f>
        <v/>
      </c>
      <c r="L15" s="35">
        <f>IF(A15="","",COUNTIF(tVMs[Cluster],A15))</f>
        <v/>
      </c>
      <c r="M15" s="35">
        <f>IF(A15="","",SUMIF(tVMs[Cluster],A15,tVMs[Provisioned Space]))</f>
        <v/>
      </c>
      <c r="N15" s="35">
        <f>IF(A15="","",SUMIF(tVMs[Cluster],A15,tVMs[Used Space]))</f>
        <v/>
      </c>
      <c r="O15" s="37">
        <f>IF(A15="","",IF(E15&lt;0.2,"🔴 CPU critique",IF(J15&lt;0.2,"🔴 RAM critique",IF(E15&lt;0.3,"⚠️ CPU warning",IF(J15&lt;0.3,"⚠️ RAM warning","✅ OK")))))</f>
        <v/>
      </c>
    </row>
    <row r="16" ht="19" customHeight="1">
      <c r="A16" s="30">
        <f>IFERROR(INDEX(tHosts[Cluster],MATCH(0,COUNTIF($A$12:$A$15,tHosts[Cluster]),0)),"")</f>
        <v/>
      </c>
      <c r="B16" s="31">
        <f>IF(A16="","",COUNTIF(tHosts[Cluster],A16))</f>
        <v/>
      </c>
      <c r="C16" s="31">
        <f>IF(A16="","",SUMIF(tHosts[Cluster],A16,tHosts[CPUs]))</f>
        <v/>
      </c>
      <c r="D16" s="32">
        <f>IF(A16="","",IFERROR(AVERAGEIF(tHosts[Cluster],A16,tHosts[Consumed CPU %])/100,0))</f>
        <v/>
      </c>
      <c r="E16" s="32">
        <f>IF(A16="","",IFERROR(1-D16,0))</f>
        <v/>
      </c>
      <c r="F16" s="33">
        <f>IF(A16="","",IF(E16&lt;0.2,"🔴 Critique (&lt;20%)",IF(E16&lt;0.3,"⚠️ Warning (&lt;30%)","✅ OK (≥30%)")))</f>
        <v/>
      </c>
      <c r="G16" s="31">
        <f>IF(A16="","",ROUND(SUMPRODUCT((tHosts[Cluster]=A16)*tHosts[CPUs]*(100-tHosts[Consumed CPU %])/100),0))</f>
        <v/>
      </c>
      <c r="H16" s="31">
        <f>IF(A16="","",ROUND(SUMIF(tHosts[Cluster],A16,tHosts[Memory Size (MB)])/1024,0))</f>
        <v/>
      </c>
      <c r="I16" s="31">
        <f>IF(A16="","",ROUND(SUMPRODUCT((tHosts[Cluster]=A16)*tHosts[Memory Size (MB)]*tHosts[Consumed Memory %]/100)/1024,0))</f>
        <v/>
      </c>
      <c r="J16" s="32">
        <f>IF(A16="","",IFERROR(1-I16/H16,0))</f>
        <v/>
      </c>
      <c r="K16" s="33">
        <f>IF(A16="","",IF(J16&lt;0.2,"🔴 Critique (&lt;20%)",IF(J16&lt;0.3,"⚠️ Warning (&lt;30%)","✅ OK (≥30%)")))</f>
        <v/>
      </c>
      <c r="L16" s="31">
        <f>IF(A16="","",COUNTIF(tVMs[Cluster],A16))</f>
        <v/>
      </c>
      <c r="M16" s="31">
        <f>IF(A16="","",SUMIF(tVMs[Cluster],A16,tVMs[Provisioned Space]))</f>
        <v/>
      </c>
      <c r="N16" s="31">
        <f>IF(A16="","",SUMIF(tVMs[Cluster],A16,tVMs[Used Space]))</f>
        <v/>
      </c>
      <c r="O16" s="33">
        <f>IF(A16="","",IF(E16&lt;0.2,"🔴 CPU critique",IF(J16&lt;0.2,"🔴 RAM critique",IF(E16&lt;0.3,"⚠️ CPU warning",IF(J16&lt;0.3,"⚠️ RAM warning","✅ OK")))))</f>
        <v/>
      </c>
    </row>
    <row r="17" ht="19" customHeight="1">
      <c r="A17" s="34">
        <f>IFERROR(INDEX(tHosts[Cluster],MATCH(0,COUNTIF($A$12:$A$16,tHosts[Cluster]),0)),"")</f>
        <v/>
      </c>
      <c r="B17" s="35">
        <f>IF(A17="","",COUNTIF(tHosts[Cluster],A17))</f>
        <v/>
      </c>
      <c r="C17" s="35">
        <f>IF(A17="","",SUMIF(tHosts[Cluster],A17,tHosts[CPUs]))</f>
        <v/>
      </c>
      <c r="D17" s="36">
        <f>IF(A17="","",IFERROR(AVERAGEIF(tHosts[Cluster],A17,tHosts[Consumed CPU %])/100,0))</f>
        <v/>
      </c>
      <c r="E17" s="36">
        <f>IF(A17="","",IFERROR(1-D17,0))</f>
        <v/>
      </c>
      <c r="F17" s="37">
        <f>IF(A17="","",IF(E17&lt;0.2,"🔴 Critique (&lt;20%)",IF(E17&lt;0.3,"⚠️ Warning (&lt;30%)","✅ OK (≥30%)")))</f>
        <v/>
      </c>
      <c r="G17" s="35">
        <f>IF(A17="","",ROUND(SUMPRODUCT((tHosts[Cluster]=A17)*tHosts[CPUs]*(100-tHosts[Consumed CPU %])/100),0))</f>
        <v/>
      </c>
      <c r="H17" s="35">
        <f>IF(A17="","",ROUND(SUMIF(tHosts[Cluster],A17,tHosts[Memory Size (MB)])/1024,0))</f>
        <v/>
      </c>
      <c r="I17" s="35">
        <f>IF(A17="","",ROUND(SUMPRODUCT((tHosts[Cluster]=A17)*tHosts[Memory Size (MB)]*tHosts[Consumed Memory %]/100)/1024,0))</f>
        <v/>
      </c>
      <c r="J17" s="36">
        <f>IF(A17="","",IFERROR(1-I17/H17,0))</f>
        <v/>
      </c>
      <c r="K17" s="37">
        <f>IF(A17="","",IF(J17&lt;0.2,"🔴 Critique (&lt;20%)",IF(J17&lt;0.3,"⚠️ Warning (&lt;30%)","✅ OK (≥30%)")))</f>
        <v/>
      </c>
      <c r="L17" s="35">
        <f>IF(A17="","",COUNTIF(tVMs[Cluster],A17))</f>
        <v/>
      </c>
      <c r="M17" s="35">
        <f>IF(A17="","",SUMIF(tVMs[Cluster],A17,tVMs[Provisioned Space]))</f>
        <v/>
      </c>
      <c r="N17" s="35">
        <f>IF(A17="","",SUMIF(tVMs[Cluster],A17,tVMs[Used Space]))</f>
        <v/>
      </c>
      <c r="O17" s="37">
        <f>IF(A17="","",IF(E17&lt;0.2,"🔴 CPU critique",IF(J17&lt;0.2,"🔴 RAM critique",IF(E17&lt;0.3,"⚠️ CPU warning",IF(J17&lt;0.3,"⚠️ RAM warning","✅ OK")))))</f>
        <v/>
      </c>
    </row>
    <row r="18" ht="19" customHeight="1">
      <c r="A18" s="30">
        <f>IFERROR(INDEX(tHosts[Cluster],MATCH(0,COUNTIF($A$12:$A$17,tHosts[Cluster]),0)),"")</f>
        <v/>
      </c>
      <c r="B18" s="31">
        <f>IF(A18="","",COUNTIF(tHosts[Cluster],A18))</f>
        <v/>
      </c>
      <c r="C18" s="31">
        <f>IF(A18="","",SUMIF(tHosts[Cluster],A18,tHosts[CPUs]))</f>
        <v/>
      </c>
      <c r="D18" s="32">
        <f>IF(A18="","",IFERROR(AVERAGEIF(tHosts[Cluster],A18,tHosts[Consumed CPU %])/100,0))</f>
        <v/>
      </c>
      <c r="E18" s="32">
        <f>IF(A18="","",IFERROR(1-D18,0))</f>
        <v/>
      </c>
      <c r="F18" s="33">
        <f>IF(A18="","",IF(E18&lt;0.2,"🔴 Critique (&lt;20%)",IF(E18&lt;0.3,"⚠️ Warning (&lt;30%)","✅ OK (≥30%)")))</f>
        <v/>
      </c>
      <c r="G18" s="31">
        <f>IF(A18="","",ROUND(SUMPRODUCT((tHosts[Cluster]=A18)*tHosts[CPUs]*(100-tHosts[Consumed CPU %])/100),0))</f>
        <v/>
      </c>
      <c r="H18" s="31">
        <f>IF(A18="","",ROUND(SUMIF(tHosts[Cluster],A18,tHosts[Memory Size (MB)])/1024,0))</f>
        <v/>
      </c>
      <c r="I18" s="31">
        <f>IF(A18="","",ROUND(SUMPRODUCT((tHosts[Cluster]=A18)*tHosts[Memory Size (MB)]*tHosts[Consumed Memory %]/100)/1024,0))</f>
        <v/>
      </c>
      <c r="J18" s="32">
        <f>IF(A18="","",IFERROR(1-I18/H18,0))</f>
        <v/>
      </c>
      <c r="K18" s="33">
        <f>IF(A18="","",IF(J18&lt;0.2,"🔴 Critique (&lt;20%)",IF(J18&lt;0.3,"⚠️ Warning (&lt;30%)","✅ OK (≥30%)")))</f>
        <v/>
      </c>
      <c r="L18" s="31">
        <f>IF(A18="","",COUNTIF(tVMs[Cluster],A18))</f>
        <v/>
      </c>
      <c r="M18" s="31">
        <f>IF(A18="","",SUMIF(tVMs[Cluster],A18,tVMs[Provisioned Space]))</f>
        <v/>
      </c>
      <c r="N18" s="31">
        <f>IF(A18="","",SUMIF(tVMs[Cluster],A18,tVMs[Used Space]))</f>
        <v/>
      </c>
      <c r="O18" s="33">
        <f>IF(A18="","",IF(E18&lt;0.2,"🔴 CPU critique",IF(J18&lt;0.2,"🔴 RAM critique",IF(E18&lt;0.3,"⚠️ CPU warning",IF(J18&lt;0.3,"⚠️ RAM warning","✅ OK")))))</f>
        <v/>
      </c>
    </row>
    <row r="19" ht="19" customHeight="1">
      <c r="A19" s="34">
        <f>IFERROR(INDEX(tHosts[Cluster],MATCH(0,COUNTIF($A$12:$A$18,tHosts[Cluster]),0)),"")</f>
        <v/>
      </c>
      <c r="B19" s="35">
        <f>IF(A19="","",COUNTIF(tHosts[Cluster],A19))</f>
        <v/>
      </c>
      <c r="C19" s="35">
        <f>IF(A19="","",SUMIF(tHosts[Cluster],A19,tHosts[CPUs]))</f>
        <v/>
      </c>
      <c r="D19" s="36">
        <f>IF(A19="","",IFERROR(AVERAGEIF(tHosts[Cluster],A19,tHosts[Consumed CPU %])/100,0))</f>
        <v/>
      </c>
      <c r="E19" s="36">
        <f>IF(A19="","",IFERROR(1-D19,0))</f>
        <v/>
      </c>
      <c r="F19" s="37">
        <f>IF(A19="","",IF(E19&lt;0.2,"🔴 Critique (&lt;20%)",IF(E19&lt;0.3,"⚠️ Warning (&lt;30%)","✅ OK (≥30%)")))</f>
        <v/>
      </c>
      <c r="G19" s="35">
        <f>IF(A19="","",ROUND(SUMPRODUCT((tHosts[Cluster]=A19)*tHosts[CPUs]*(100-tHosts[Consumed CPU %])/100),0))</f>
        <v/>
      </c>
      <c r="H19" s="35">
        <f>IF(A19="","",ROUND(SUMIF(tHosts[Cluster],A19,tHosts[Memory Size (MB)])/1024,0))</f>
        <v/>
      </c>
      <c r="I19" s="35">
        <f>IF(A19="","",ROUND(SUMPRODUCT((tHosts[Cluster]=A19)*tHosts[Memory Size (MB)]*tHosts[Consumed Memory %]/100)/1024,0))</f>
        <v/>
      </c>
      <c r="J19" s="36">
        <f>IF(A19="","",IFERROR(1-I19/H19,0))</f>
        <v/>
      </c>
      <c r="K19" s="37">
        <f>IF(A19="","",IF(J19&lt;0.2,"🔴 Critique (&lt;20%)",IF(J19&lt;0.3,"⚠️ Warning (&lt;30%)","✅ OK (≥30%)")))</f>
        <v/>
      </c>
      <c r="L19" s="35">
        <f>IF(A19="","",COUNTIF(tVMs[Cluster],A19))</f>
        <v/>
      </c>
      <c r="M19" s="35">
        <f>IF(A19="","",SUMIF(tVMs[Cluster],A19,tVMs[Provisioned Space]))</f>
        <v/>
      </c>
      <c r="N19" s="35">
        <f>IF(A19="","",SUMIF(tVMs[Cluster],A19,tVMs[Used Space]))</f>
        <v/>
      </c>
      <c r="O19" s="37">
        <f>IF(A19="","",IF(E19&lt;0.2,"🔴 CPU critique",IF(J19&lt;0.2,"🔴 RAM critique",IF(E19&lt;0.3,"⚠️ CPU warning",IF(J19&lt;0.3,"⚠️ RAM warning","✅ OK")))))</f>
        <v/>
      </c>
    </row>
    <row r="20" ht="19" customHeight="1">
      <c r="A20" s="30">
        <f>IFERROR(INDEX(tHosts[Cluster],MATCH(0,COUNTIF($A$12:$A$19,tHosts[Cluster]),0)),"")</f>
        <v/>
      </c>
      <c r="B20" s="31">
        <f>IF(A20="","",COUNTIF(tHosts[Cluster],A20))</f>
        <v/>
      </c>
      <c r="C20" s="31">
        <f>IF(A20="","",SUMIF(tHosts[Cluster],A20,tHosts[CPUs]))</f>
        <v/>
      </c>
      <c r="D20" s="32">
        <f>IF(A20="","",IFERROR(AVERAGEIF(tHosts[Cluster],A20,tHosts[Consumed CPU %])/100,0))</f>
        <v/>
      </c>
      <c r="E20" s="32">
        <f>IF(A20="","",IFERROR(1-D20,0))</f>
        <v/>
      </c>
      <c r="F20" s="33">
        <f>IF(A20="","",IF(E20&lt;0.2,"🔴 Critique (&lt;20%)",IF(E20&lt;0.3,"⚠️ Warning (&lt;30%)","✅ OK (≥30%)")))</f>
        <v/>
      </c>
      <c r="G20" s="31">
        <f>IF(A20="","",ROUND(SUMPRODUCT((tHosts[Cluster]=A20)*tHosts[CPUs]*(100-tHosts[Consumed CPU %])/100),0))</f>
        <v/>
      </c>
      <c r="H20" s="31">
        <f>IF(A20="","",ROUND(SUMIF(tHosts[Cluster],A20,tHosts[Memory Size (MB)])/1024,0))</f>
        <v/>
      </c>
      <c r="I20" s="31">
        <f>IF(A20="","",ROUND(SUMPRODUCT((tHosts[Cluster]=A20)*tHosts[Memory Size (MB)]*tHosts[Consumed Memory %]/100)/1024,0))</f>
        <v/>
      </c>
      <c r="J20" s="32">
        <f>IF(A20="","",IFERROR(1-I20/H20,0))</f>
        <v/>
      </c>
      <c r="K20" s="33">
        <f>IF(A20="","",IF(J20&lt;0.2,"🔴 Critique (&lt;20%)",IF(J20&lt;0.3,"⚠️ Warning (&lt;30%)","✅ OK (≥30%)")))</f>
        <v/>
      </c>
      <c r="L20" s="31">
        <f>IF(A20="","",COUNTIF(tVMs[Cluster],A20))</f>
        <v/>
      </c>
      <c r="M20" s="31">
        <f>IF(A20="","",SUMIF(tVMs[Cluster],A20,tVMs[Provisioned Space]))</f>
        <v/>
      </c>
      <c r="N20" s="31">
        <f>IF(A20="","",SUMIF(tVMs[Cluster],A20,tVMs[Used Space]))</f>
        <v/>
      </c>
      <c r="O20" s="33">
        <f>IF(A20="","",IF(E20&lt;0.2,"🔴 CPU critique",IF(J20&lt;0.2,"🔴 RAM critique",IF(E20&lt;0.3,"⚠️ CPU warning",IF(J20&lt;0.3,"⚠️ RAM warning","✅ OK")))))</f>
        <v/>
      </c>
    </row>
    <row r="21" ht="19" customHeight="1">
      <c r="A21" s="34">
        <f>IFERROR(INDEX(tHosts[Cluster],MATCH(0,COUNTIF($A$12:$A$20,tHosts[Cluster]),0)),"")</f>
        <v/>
      </c>
      <c r="B21" s="35">
        <f>IF(A21="","",COUNTIF(tHosts[Cluster],A21))</f>
        <v/>
      </c>
      <c r="C21" s="35">
        <f>IF(A21="","",SUMIF(tHosts[Cluster],A21,tHosts[CPUs]))</f>
        <v/>
      </c>
      <c r="D21" s="36">
        <f>IF(A21="","",IFERROR(AVERAGEIF(tHosts[Cluster],A21,tHosts[Consumed CPU %])/100,0))</f>
        <v/>
      </c>
      <c r="E21" s="36">
        <f>IF(A21="","",IFERROR(1-D21,0))</f>
        <v/>
      </c>
      <c r="F21" s="37">
        <f>IF(A21="","",IF(E21&lt;0.2,"🔴 Critique (&lt;20%)",IF(E21&lt;0.3,"⚠️ Warning (&lt;30%)","✅ OK (≥30%)")))</f>
        <v/>
      </c>
      <c r="G21" s="35">
        <f>IF(A21="","",ROUND(SUMPRODUCT((tHosts[Cluster]=A21)*tHosts[CPUs]*(100-tHosts[Consumed CPU %])/100),0))</f>
        <v/>
      </c>
      <c r="H21" s="35">
        <f>IF(A21="","",ROUND(SUMIF(tHosts[Cluster],A21,tHosts[Memory Size (MB)])/1024,0))</f>
        <v/>
      </c>
      <c r="I21" s="35">
        <f>IF(A21="","",ROUND(SUMPRODUCT((tHosts[Cluster]=A21)*tHosts[Memory Size (MB)]*tHosts[Consumed Memory %]/100)/1024,0))</f>
        <v/>
      </c>
      <c r="J21" s="36">
        <f>IF(A21="","",IFERROR(1-I21/H21,0))</f>
        <v/>
      </c>
      <c r="K21" s="37">
        <f>IF(A21="","",IF(J21&lt;0.2,"🔴 Critique (&lt;20%)",IF(J21&lt;0.3,"⚠️ Warning (&lt;30%)","✅ OK (≥30%)")))</f>
        <v/>
      </c>
      <c r="L21" s="35">
        <f>IF(A21="","",COUNTIF(tVMs[Cluster],A21))</f>
        <v/>
      </c>
      <c r="M21" s="35">
        <f>IF(A21="","",SUMIF(tVMs[Cluster],A21,tVMs[Provisioned Space]))</f>
        <v/>
      </c>
      <c r="N21" s="35">
        <f>IF(A21="","",SUMIF(tVMs[Cluster],A21,tVMs[Used Space]))</f>
        <v/>
      </c>
      <c r="O21" s="37">
        <f>IF(A21="","",IF(E21&lt;0.2,"🔴 CPU critique",IF(J21&lt;0.2,"🔴 RAM critique",IF(E21&lt;0.3,"⚠️ CPU warning",IF(J21&lt;0.3,"⚠️ RAM warning","✅ OK")))))</f>
        <v/>
      </c>
    </row>
    <row r="22" ht="19" customHeight="1">
      <c r="A22" s="30">
        <f>IFERROR(INDEX(tHosts[Cluster],MATCH(0,COUNTIF($A$12:$A$21,tHosts[Cluster]),0)),"")</f>
        <v/>
      </c>
      <c r="B22" s="31">
        <f>IF(A22="","",COUNTIF(tHosts[Cluster],A22))</f>
        <v/>
      </c>
      <c r="C22" s="31">
        <f>IF(A22="","",SUMIF(tHosts[Cluster],A22,tHosts[CPUs]))</f>
        <v/>
      </c>
      <c r="D22" s="32">
        <f>IF(A22="","",IFERROR(AVERAGEIF(tHosts[Cluster],A22,tHosts[Consumed CPU %])/100,0))</f>
        <v/>
      </c>
      <c r="E22" s="32">
        <f>IF(A22="","",IFERROR(1-D22,0))</f>
        <v/>
      </c>
      <c r="F22" s="33">
        <f>IF(A22="","",IF(E22&lt;0.2,"🔴 Critique (&lt;20%)",IF(E22&lt;0.3,"⚠️ Warning (&lt;30%)","✅ OK (≥30%)")))</f>
        <v/>
      </c>
      <c r="G22" s="31">
        <f>IF(A22="","",ROUND(SUMPRODUCT((tHosts[Cluster]=A22)*tHosts[CPUs]*(100-tHosts[Consumed CPU %])/100),0))</f>
        <v/>
      </c>
      <c r="H22" s="31">
        <f>IF(A22="","",ROUND(SUMIF(tHosts[Cluster],A22,tHosts[Memory Size (MB)])/1024,0))</f>
        <v/>
      </c>
      <c r="I22" s="31">
        <f>IF(A22="","",ROUND(SUMPRODUCT((tHosts[Cluster]=A22)*tHosts[Memory Size (MB)]*tHosts[Consumed Memory %]/100)/1024,0))</f>
        <v/>
      </c>
      <c r="J22" s="32">
        <f>IF(A22="","",IFERROR(1-I22/H22,0))</f>
        <v/>
      </c>
      <c r="K22" s="33">
        <f>IF(A22="","",IF(J22&lt;0.2,"🔴 Critique (&lt;20%)",IF(J22&lt;0.3,"⚠️ Warning (&lt;30%)","✅ OK (≥30%)")))</f>
        <v/>
      </c>
      <c r="L22" s="31">
        <f>IF(A22="","",COUNTIF(tVMs[Cluster],A22))</f>
        <v/>
      </c>
      <c r="M22" s="31">
        <f>IF(A22="","",SUMIF(tVMs[Cluster],A22,tVMs[Provisioned Space]))</f>
        <v/>
      </c>
      <c r="N22" s="31">
        <f>IF(A22="","",SUMIF(tVMs[Cluster],A22,tVMs[Used Space]))</f>
        <v/>
      </c>
      <c r="O22" s="33">
        <f>IF(A22="","",IF(E22&lt;0.2,"🔴 CPU critique",IF(J22&lt;0.2,"🔴 RAM critique",IF(E22&lt;0.3,"⚠️ CPU warning",IF(J22&lt;0.3,"⚠️ RAM warning","✅ OK")))))</f>
        <v/>
      </c>
    </row>
    <row r="23" ht="19" customHeight="1">
      <c r="A23" s="34">
        <f>IFERROR(INDEX(tHosts[Cluster],MATCH(0,COUNTIF($A$12:$A$22,tHosts[Cluster]),0)),"")</f>
        <v/>
      </c>
      <c r="B23" s="35">
        <f>IF(A23="","",COUNTIF(tHosts[Cluster],A23))</f>
        <v/>
      </c>
      <c r="C23" s="35">
        <f>IF(A23="","",SUMIF(tHosts[Cluster],A23,tHosts[CPUs]))</f>
        <v/>
      </c>
      <c r="D23" s="36">
        <f>IF(A23="","",IFERROR(AVERAGEIF(tHosts[Cluster],A23,tHosts[Consumed CPU %])/100,0))</f>
        <v/>
      </c>
      <c r="E23" s="36">
        <f>IF(A23="","",IFERROR(1-D23,0))</f>
        <v/>
      </c>
      <c r="F23" s="37">
        <f>IF(A23="","",IF(E23&lt;0.2,"🔴 Critique (&lt;20%)",IF(E23&lt;0.3,"⚠️ Warning (&lt;30%)","✅ OK (≥30%)")))</f>
        <v/>
      </c>
      <c r="G23" s="35">
        <f>IF(A23="","",ROUND(SUMPRODUCT((tHosts[Cluster]=A23)*tHosts[CPUs]*(100-tHosts[Consumed CPU %])/100),0))</f>
        <v/>
      </c>
      <c r="H23" s="35">
        <f>IF(A23="","",ROUND(SUMIF(tHosts[Cluster],A23,tHosts[Memory Size (MB)])/1024,0))</f>
        <v/>
      </c>
      <c r="I23" s="35">
        <f>IF(A23="","",ROUND(SUMPRODUCT((tHosts[Cluster]=A23)*tHosts[Memory Size (MB)]*tHosts[Consumed Memory %]/100)/1024,0))</f>
        <v/>
      </c>
      <c r="J23" s="36">
        <f>IF(A23="","",IFERROR(1-I23/H23,0))</f>
        <v/>
      </c>
      <c r="K23" s="37">
        <f>IF(A23="","",IF(J23&lt;0.2,"🔴 Critique (&lt;20%)",IF(J23&lt;0.3,"⚠️ Warning (&lt;30%)","✅ OK (≥30%)")))</f>
        <v/>
      </c>
      <c r="L23" s="35">
        <f>IF(A23="","",COUNTIF(tVMs[Cluster],A23))</f>
        <v/>
      </c>
      <c r="M23" s="35">
        <f>IF(A23="","",SUMIF(tVMs[Cluster],A23,tVMs[Provisioned Space]))</f>
        <v/>
      </c>
      <c r="N23" s="35">
        <f>IF(A23="","",SUMIF(tVMs[Cluster],A23,tVMs[Used Space]))</f>
        <v/>
      </c>
      <c r="O23" s="37">
        <f>IF(A23="","",IF(E23&lt;0.2,"🔴 CPU critique",IF(J23&lt;0.2,"🔴 RAM critique",IF(E23&lt;0.3,"⚠️ CPU warning",IF(J23&lt;0.3,"⚠️ RAM warning","✅ OK")))))</f>
        <v/>
      </c>
    </row>
    <row r="24" ht="19" customHeight="1">
      <c r="A24" s="30">
        <f>IFERROR(INDEX(tHosts[Cluster],MATCH(0,COUNTIF($A$12:$A$23,tHosts[Cluster]),0)),"")</f>
        <v/>
      </c>
      <c r="B24" s="31">
        <f>IF(A24="","",COUNTIF(tHosts[Cluster],A24))</f>
        <v/>
      </c>
      <c r="C24" s="31">
        <f>IF(A24="","",SUMIF(tHosts[Cluster],A24,tHosts[CPUs]))</f>
        <v/>
      </c>
      <c r="D24" s="32">
        <f>IF(A24="","",IFERROR(AVERAGEIF(tHosts[Cluster],A24,tHosts[Consumed CPU %])/100,0))</f>
        <v/>
      </c>
      <c r="E24" s="32">
        <f>IF(A24="","",IFERROR(1-D24,0))</f>
        <v/>
      </c>
      <c r="F24" s="33">
        <f>IF(A24="","",IF(E24&lt;0.2,"🔴 Critique (&lt;20%)",IF(E24&lt;0.3,"⚠️ Warning (&lt;30%)","✅ OK (≥30%)")))</f>
        <v/>
      </c>
      <c r="G24" s="31">
        <f>IF(A24="","",ROUND(SUMPRODUCT((tHosts[Cluster]=A24)*tHosts[CPUs]*(100-tHosts[Consumed CPU %])/100),0))</f>
        <v/>
      </c>
      <c r="H24" s="31">
        <f>IF(A24="","",ROUND(SUMIF(tHosts[Cluster],A24,tHosts[Memory Size (MB)])/1024,0))</f>
        <v/>
      </c>
      <c r="I24" s="31">
        <f>IF(A24="","",ROUND(SUMPRODUCT((tHosts[Cluster]=A24)*tHosts[Memory Size (MB)]*tHosts[Consumed Memory %]/100)/1024,0))</f>
        <v/>
      </c>
      <c r="J24" s="32">
        <f>IF(A24="","",IFERROR(1-I24/H24,0))</f>
        <v/>
      </c>
      <c r="K24" s="33">
        <f>IF(A24="","",IF(J24&lt;0.2,"🔴 Critique (&lt;20%)",IF(J24&lt;0.3,"⚠️ Warning (&lt;30%)","✅ OK (≥30%)")))</f>
        <v/>
      </c>
      <c r="L24" s="31">
        <f>IF(A24="","",COUNTIF(tVMs[Cluster],A24))</f>
        <v/>
      </c>
      <c r="M24" s="31">
        <f>IF(A24="","",SUMIF(tVMs[Cluster],A24,tVMs[Provisioned Space]))</f>
        <v/>
      </c>
      <c r="N24" s="31">
        <f>IF(A24="","",SUMIF(tVMs[Cluster],A24,tVMs[Used Space]))</f>
        <v/>
      </c>
      <c r="O24" s="33">
        <f>IF(A24="","",IF(E24&lt;0.2,"🔴 CPU critique",IF(J24&lt;0.2,"🔴 RAM critique",IF(E24&lt;0.3,"⚠️ CPU warning",IF(J24&lt;0.3,"⚠️ RAM warning","✅ OK")))))</f>
        <v/>
      </c>
    </row>
    <row r="25" ht="19" customHeight="1">
      <c r="A25" s="34">
        <f>IFERROR(INDEX(tHosts[Cluster],MATCH(0,COUNTIF($A$12:$A$24,tHosts[Cluster]),0)),"")</f>
        <v/>
      </c>
      <c r="B25" s="35">
        <f>IF(A25="","",COUNTIF(tHosts[Cluster],A25))</f>
        <v/>
      </c>
      <c r="C25" s="35">
        <f>IF(A25="","",SUMIF(tHosts[Cluster],A25,tHosts[CPUs]))</f>
        <v/>
      </c>
      <c r="D25" s="36">
        <f>IF(A25="","",IFERROR(AVERAGEIF(tHosts[Cluster],A25,tHosts[Consumed CPU %])/100,0))</f>
        <v/>
      </c>
      <c r="E25" s="36">
        <f>IF(A25="","",IFERROR(1-D25,0))</f>
        <v/>
      </c>
      <c r="F25" s="37">
        <f>IF(A25="","",IF(E25&lt;0.2,"🔴 Critique (&lt;20%)",IF(E25&lt;0.3,"⚠️ Warning (&lt;30%)","✅ OK (≥30%)")))</f>
        <v/>
      </c>
      <c r="G25" s="35">
        <f>IF(A25="","",ROUND(SUMPRODUCT((tHosts[Cluster]=A25)*tHosts[CPUs]*(100-tHosts[Consumed CPU %])/100),0))</f>
        <v/>
      </c>
      <c r="H25" s="35">
        <f>IF(A25="","",ROUND(SUMIF(tHosts[Cluster],A25,tHosts[Memory Size (MB)])/1024,0))</f>
        <v/>
      </c>
      <c r="I25" s="35">
        <f>IF(A25="","",ROUND(SUMPRODUCT((tHosts[Cluster]=A25)*tHosts[Memory Size (MB)]*tHosts[Consumed Memory %]/100)/1024,0))</f>
        <v/>
      </c>
      <c r="J25" s="36">
        <f>IF(A25="","",IFERROR(1-I25/H25,0))</f>
        <v/>
      </c>
      <c r="K25" s="37">
        <f>IF(A25="","",IF(J25&lt;0.2,"🔴 Critique (&lt;20%)",IF(J25&lt;0.3,"⚠️ Warning (&lt;30%)","✅ OK (≥30%)")))</f>
        <v/>
      </c>
      <c r="L25" s="35">
        <f>IF(A25="","",COUNTIF(tVMs[Cluster],A25))</f>
        <v/>
      </c>
      <c r="M25" s="35">
        <f>IF(A25="","",SUMIF(tVMs[Cluster],A25,tVMs[Provisioned Space]))</f>
        <v/>
      </c>
      <c r="N25" s="35">
        <f>IF(A25="","",SUMIF(tVMs[Cluster],A25,tVMs[Used Space]))</f>
        <v/>
      </c>
      <c r="O25" s="37">
        <f>IF(A25="","",IF(E25&lt;0.2,"🔴 CPU critique",IF(J25&lt;0.2,"🔴 RAM critique",IF(E25&lt;0.3,"⚠️ CPU warning",IF(J25&lt;0.3,"⚠️ RAM warning","✅ OK")))))</f>
        <v/>
      </c>
    </row>
    <row r="26" ht="19" customHeight="1">
      <c r="A26" s="30">
        <f>IFERROR(INDEX(tHosts[Cluster],MATCH(0,COUNTIF($A$12:$A$25,tHosts[Cluster]),0)),"")</f>
        <v/>
      </c>
      <c r="B26" s="31">
        <f>IF(A26="","",COUNTIF(tHosts[Cluster],A26))</f>
        <v/>
      </c>
      <c r="C26" s="31">
        <f>IF(A26="","",SUMIF(tHosts[Cluster],A26,tHosts[CPUs]))</f>
        <v/>
      </c>
      <c r="D26" s="32">
        <f>IF(A26="","",IFERROR(AVERAGEIF(tHosts[Cluster],A26,tHosts[Consumed CPU %])/100,0))</f>
        <v/>
      </c>
      <c r="E26" s="32">
        <f>IF(A26="","",IFERROR(1-D26,0))</f>
        <v/>
      </c>
      <c r="F26" s="33">
        <f>IF(A26="","",IF(E26&lt;0.2,"🔴 Critique (&lt;20%)",IF(E26&lt;0.3,"⚠️ Warning (&lt;30%)","✅ OK (≥30%)")))</f>
        <v/>
      </c>
      <c r="G26" s="31">
        <f>IF(A26="","",ROUND(SUMPRODUCT((tHosts[Cluster]=A26)*tHosts[CPUs]*(100-tHosts[Consumed CPU %])/100),0))</f>
        <v/>
      </c>
      <c r="H26" s="31">
        <f>IF(A26="","",ROUND(SUMIF(tHosts[Cluster],A26,tHosts[Memory Size (MB)])/1024,0))</f>
        <v/>
      </c>
      <c r="I26" s="31">
        <f>IF(A26="","",ROUND(SUMPRODUCT((tHosts[Cluster]=A26)*tHosts[Memory Size (MB)]*tHosts[Consumed Memory %]/100)/1024,0))</f>
        <v/>
      </c>
      <c r="J26" s="32">
        <f>IF(A26="","",IFERROR(1-I26/H26,0))</f>
        <v/>
      </c>
      <c r="K26" s="33">
        <f>IF(A26="","",IF(J26&lt;0.2,"🔴 Critique (&lt;20%)",IF(J26&lt;0.3,"⚠️ Warning (&lt;30%)","✅ OK (≥30%)")))</f>
        <v/>
      </c>
      <c r="L26" s="31">
        <f>IF(A26="","",COUNTIF(tVMs[Cluster],A26))</f>
        <v/>
      </c>
      <c r="M26" s="31">
        <f>IF(A26="","",SUMIF(tVMs[Cluster],A26,tVMs[Provisioned Space]))</f>
        <v/>
      </c>
      <c r="N26" s="31">
        <f>IF(A26="","",SUMIF(tVMs[Cluster],A26,tVMs[Used Space]))</f>
        <v/>
      </c>
      <c r="O26" s="33">
        <f>IF(A26="","",IF(E26&lt;0.2,"🔴 CPU critique",IF(J26&lt;0.2,"🔴 RAM critique",IF(E26&lt;0.3,"⚠️ CPU warning",IF(J26&lt;0.3,"⚠️ RAM warning","✅ OK")))))</f>
        <v/>
      </c>
    </row>
    <row r="27" ht="19" customHeight="1">
      <c r="A27" s="34">
        <f>IFERROR(INDEX(tHosts[Cluster],MATCH(0,COUNTIF($A$12:$A$26,tHosts[Cluster]),0)),"")</f>
        <v/>
      </c>
      <c r="B27" s="35">
        <f>IF(A27="","",COUNTIF(tHosts[Cluster],A27))</f>
        <v/>
      </c>
      <c r="C27" s="35">
        <f>IF(A27="","",SUMIF(tHosts[Cluster],A27,tHosts[CPUs]))</f>
        <v/>
      </c>
      <c r="D27" s="36">
        <f>IF(A27="","",IFERROR(AVERAGEIF(tHosts[Cluster],A27,tHosts[Consumed CPU %])/100,0))</f>
        <v/>
      </c>
      <c r="E27" s="36">
        <f>IF(A27="","",IFERROR(1-D27,0))</f>
        <v/>
      </c>
      <c r="F27" s="37">
        <f>IF(A27="","",IF(E27&lt;0.2,"🔴 Critique (&lt;20%)",IF(E27&lt;0.3,"⚠️ Warning (&lt;30%)","✅ OK (≥30%)")))</f>
        <v/>
      </c>
      <c r="G27" s="35">
        <f>IF(A27="","",ROUND(SUMPRODUCT((tHosts[Cluster]=A27)*tHosts[CPUs]*(100-tHosts[Consumed CPU %])/100),0))</f>
        <v/>
      </c>
      <c r="H27" s="35">
        <f>IF(A27="","",ROUND(SUMIF(tHosts[Cluster],A27,tHosts[Memory Size (MB)])/1024,0))</f>
        <v/>
      </c>
      <c r="I27" s="35">
        <f>IF(A27="","",ROUND(SUMPRODUCT((tHosts[Cluster]=A27)*tHosts[Memory Size (MB)]*tHosts[Consumed Memory %]/100)/1024,0))</f>
        <v/>
      </c>
      <c r="J27" s="36">
        <f>IF(A27="","",IFERROR(1-I27/H27,0))</f>
        <v/>
      </c>
      <c r="K27" s="37">
        <f>IF(A27="","",IF(J27&lt;0.2,"🔴 Critique (&lt;20%)",IF(J27&lt;0.3,"⚠️ Warning (&lt;30%)","✅ OK (≥30%)")))</f>
        <v/>
      </c>
      <c r="L27" s="35">
        <f>IF(A27="","",COUNTIF(tVMs[Cluster],A27))</f>
        <v/>
      </c>
      <c r="M27" s="35">
        <f>IF(A27="","",SUMIF(tVMs[Cluster],A27,tVMs[Provisioned Space]))</f>
        <v/>
      </c>
      <c r="N27" s="35">
        <f>IF(A27="","",SUMIF(tVMs[Cluster],A27,tVMs[Used Space]))</f>
        <v/>
      </c>
      <c r="O27" s="37">
        <f>IF(A27="","",IF(E27&lt;0.2,"🔴 CPU critique",IF(J27&lt;0.2,"🔴 RAM critique",IF(E27&lt;0.3,"⚠️ CPU warning",IF(J27&lt;0.3,"⚠️ RAM warning","✅ OK")))))</f>
        <v/>
      </c>
    </row>
    <row r="28" ht="19" customHeight="1">
      <c r="A28" s="30">
        <f>IFERROR(INDEX(tHosts[Cluster],MATCH(0,COUNTIF($A$12:$A$27,tHosts[Cluster]),0)),"")</f>
        <v/>
      </c>
      <c r="B28" s="31">
        <f>IF(A28="","",COUNTIF(tHosts[Cluster],A28))</f>
        <v/>
      </c>
      <c r="C28" s="31">
        <f>IF(A28="","",SUMIF(tHosts[Cluster],A28,tHosts[CPUs]))</f>
        <v/>
      </c>
      <c r="D28" s="32">
        <f>IF(A28="","",IFERROR(AVERAGEIF(tHosts[Cluster],A28,tHosts[Consumed CPU %])/100,0))</f>
        <v/>
      </c>
      <c r="E28" s="32">
        <f>IF(A28="","",IFERROR(1-D28,0))</f>
        <v/>
      </c>
      <c r="F28" s="33">
        <f>IF(A28="","",IF(E28&lt;0.2,"🔴 Critique (&lt;20%)",IF(E28&lt;0.3,"⚠️ Warning (&lt;30%)","✅ OK (≥30%)")))</f>
        <v/>
      </c>
      <c r="G28" s="31">
        <f>IF(A28="","",ROUND(SUMPRODUCT((tHosts[Cluster]=A28)*tHosts[CPUs]*(100-tHosts[Consumed CPU %])/100),0))</f>
        <v/>
      </c>
      <c r="H28" s="31">
        <f>IF(A28="","",ROUND(SUMIF(tHosts[Cluster],A28,tHosts[Memory Size (MB)])/1024,0))</f>
        <v/>
      </c>
      <c r="I28" s="31">
        <f>IF(A28="","",ROUND(SUMPRODUCT((tHosts[Cluster]=A28)*tHosts[Memory Size (MB)]*tHosts[Consumed Memory %]/100)/1024,0))</f>
        <v/>
      </c>
      <c r="J28" s="32">
        <f>IF(A28="","",IFERROR(1-I28/H28,0))</f>
        <v/>
      </c>
      <c r="K28" s="33">
        <f>IF(A28="","",IF(J28&lt;0.2,"🔴 Critique (&lt;20%)",IF(J28&lt;0.3,"⚠️ Warning (&lt;30%)","✅ OK (≥30%)")))</f>
        <v/>
      </c>
      <c r="L28" s="31">
        <f>IF(A28="","",COUNTIF(tVMs[Cluster],A28))</f>
        <v/>
      </c>
      <c r="M28" s="31">
        <f>IF(A28="","",SUMIF(tVMs[Cluster],A28,tVMs[Provisioned Space]))</f>
        <v/>
      </c>
      <c r="N28" s="31">
        <f>IF(A28="","",SUMIF(tVMs[Cluster],A28,tVMs[Used Space]))</f>
        <v/>
      </c>
      <c r="O28" s="33">
        <f>IF(A28="","",IF(E28&lt;0.2,"🔴 CPU critique",IF(J28&lt;0.2,"🔴 RAM critique",IF(E28&lt;0.3,"⚠️ CPU warning",IF(J28&lt;0.3,"⚠️ RAM warning","✅ OK")))))</f>
        <v/>
      </c>
    </row>
    <row r="29" ht="19" customHeight="1">
      <c r="A29" s="34">
        <f>IFERROR(INDEX(tHosts[Cluster],MATCH(0,COUNTIF($A$12:$A$28,tHosts[Cluster]),0)),"")</f>
        <v/>
      </c>
      <c r="B29" s="35">
        <f>IF(A29="","",COUNTIF(tHosts[Cluster],A29))</f>
        <v/>
      </c>
      <c r="C29" s="35">
        <f>IF(A29="","",SUMIF(tHosts[Cluster],A29,tHosts[CPUs]))</f>
        <v/>
      </c>
      <c r="D29" s="36">
        <f>IF(A29="","",IFERROR(AVERAGEIF(tHosts[Cluster],A29,tHosts[Consumed CPU %])/100,0))</f>
        <v/>
      </c>
      <c r="E29" s="36">
        <f>IF(A29="","",IFERROR(1-D29,0))</f>
        <v/>
      </c>
      <c r="F29" s="37">
        <f>IF(A29="","",IF(E29&lt;0.2,"🔴 Critique (&lt;20%)",IF(E29&lt;0.3,"⚠️ Warning (&lt;30%)","✅ OK (≥30%)")))</f>
        <v/>
      </c>
      <c r="G29" s="35">
        <f>IF(A29="","",ROUND(SUMPRODUCT((tHosts[Cluster]=A29)*tHosts[CPUs]*(100-tHosts[Consumed CPU %])/100),0))</f>
        <v/>
      </c>
      <c r="H29" s="35">
        <f>IF(A29="","",ROUND(SUMIF(tHosts[Cluster],A29,tHosts[Memory Size (MB)])/1024,0))</f>
        <v/>
      </c>
      <c r="I29" s="35">
        <f>IF(A29="","",ROUND(SUMPRODUCT((tHosts[Cluster]=A29)*tHosts[Memory Size (MB)]*tHosts[Consumed Memory %]/100)/1024,0))</f>
        <v/>
      </c>
      <c r="J29" s="36">
        <f>IF(A29="","",IFERROR(1-I29/H29,0))</f>
        <v/>
      </c>
      <c r="K29" s="37">
        <f>IF(A29="","",IF(J29&lt;0.2,"🔴 Critique (&lt;20%)",IF(J29&lt;0.3,"⚠️ Warning (&lt;30%)","✅ OK (≥30%)")))</f>
        <v/>
      </c>
      <c r="L29" s="35">
        <f>IF(A29="","",COUNTIF(tVMs[Cluster],A29))</f>
        <v/>
      </c>
      <c r="M29" s="35">
        <f>IF(A29="","",SUMIF(tVMs[Cluster],A29,tVMs[Provisioned Space]))</f>
        <v/>
      </c>
      <c r="N29" s="35">
        <f>IF(A29="","",SUMIF(tVMs[Cluster],A29,tVMs[Used Space]))</f>
        <v/>
      </c>
      <c r="O29" s="37">
        <f>IF(A29="","",IF(E29&lt;0.2,"🔴 CPU critique",IF(J29&lt;0.2,"🔴 RAM critique",IF(E29&lt;0.3,"⚠️ CPU warning",IF(J29&lt;0.3,"⚠️ RAM warning","✅ OK")))))</f>
        <v/>
      </c>
    </row>
    <row r="30" ht="19" customHeight="1">
      <c r="A30" s="30">
        <f>IFERROR(INDEX(tHosts[Cluster],MATCH(0,COUNTIF($A$12:$A$29,tHosts[Cluster]),0)),"")</f>
        <v/>
      </c>
      <c r="B30" s="31">
        <f>IF(A30="","",COUNTIF(tHosts[Cluster],A30))</f>
        <v/>
      </c>
      <c r="C30" s="31">
        <f>IF(A30="","",SUMIF(tHosts[Cluster],A30,tHosts[CPUs]))</f>
        <v/>
      </c>
      <c r="D30" s="32">
        <f>IF(A30="","",IFERROR(AVERAGEIF(tHosts[Cluster],A30,tHosts[Consumed CPU %])/100,0))</f>
        <v/>
      </c>
      <c r="E30" s="32">
        <f>IF(A30="","",IFERROR(1-D30,0))</f>
        <v/>
      </c>
      <c r="F30" s="33">
        <f>IF(A30="","",IF(E30&lt;0.2,"🔴 Critique (&lt;20%)",IF(E30&lt;0.3,"⚠️ Warning (&lt;30%)","✅ OK (≥30%)")))</f>
        <v/>
      </c>
      <c r="G30" s="31">
        <f>IF(A30="","",ROUND(SUMPRODUCT((tHosts[Cluster]=A30)*tHosts[CPUs]*(100-tHosts[Consumed CPU %])/100),0))</f>
        <v/>
      </c>
      <c r="H30" s="31">
        <f>IF(A30="","",ROUND(SUMIF(tHosts[Cluster],A30,tHosts[Memory Size (MB)])/1024,0))</f>
        <v/>
      </c>
      <c r="I30" s="31">
        <f>IF(A30="","",ROUND(SUMPRODUCT((tHosts[Cluster]=A30)*tHosts[Memory Size (MB)]*tHosts[Consumed Memory %]/100)/1024,0))</f>
        <v/>
      </c>
      <c r="J30" s="32">
        <f>IF(A30="","",IFERROR(1-I30/H30,0))</f>
        <v/>
      </c>
      <c r="K30" s="33">
        <f>IF(A30="","",IF(J30&lt;0.2,"🔴 Critique (&lt;20%)",IF(J30&lt;0.3,"⚠️ Warning (&lt;30%)","✅ OK (≥30%)")))</f>
        <v/>
      </c>
      <c r="L30" s="31">
        <f>IF(A30="","",COUNTIF(tVMs[Cluster],A30))</f>
        <v/>
      </c>
      <c r="M30" s="31">
        <f>IF(A30="","",SUMIF(tVMs[Cluster],A30,tVMs[Provisioned Space]))</f>
        <v/>
      </c>
      <c r="N30" s="31">
        <f>IF(A30="","",SUMIF(tVMs[Cluster],A30,tVMs[Used Space]))</f>
        <v/>
      </c>
      <c r="O30" s="33">
        <f>IF(A30="","",IF(E30&lt;0.2,"🔴 CPU critique",IF(J30&lt;0.2,"🔴 RAM critique",IF(E30&lt;0.3,"⚠️ CPU warning",IF(J30&lt;0.3,"⚠️ RAM warning","✅ OK")))))</f>
        <v/>
      </c>
    </row>
    <row r="31" ht="19" customHeight="1">
      <c r="A31" s="34">
        <f>IFERROR(INDEX(tHosts[Cluster],MATCH(0,COUNTIF($A$12:$A$30,tHosts[Cluster]),0)),"")</f>
        <v/>
      </c>
      <c r="B31" s="35">
        <f>IF(A31="","",COUNTIF(tHosts[Cluster],A31))</f>
        <v/>
      </c>
      <c r="C31" s="35">
        <f>IF(A31="","",SUMIF(tHosts[Cluster],A31,tHosts[CPUs]))</f>
        <v/>
      </c>
      <c r="D31" s="36">
        <f>IF(A31="","",IFERROR(AVERAGEIF(tHosts[Cluster],A31,tHosts[Consumed CPU %])/100,0))</f>
        <v/>
      </c>
      <c r="E31" s="36">
        <f>IF(A31="","",IFERROR(1-D31,0))</f>
        <v/>
      </c>
      <c r="F31" s="37">
        <f>IF(A31="","",IF(E31&lt;0.2,"🔴 Critique (&lt;20%)",IF(E31&lt;0.3,"⚠️ Warning (&lt;30%)","✅ OK (≥30%)")))</f>
        <v/>
      </c>
      <c r="G31" s="35">
        <f>IF(A31="","",ROUND(SUMPRODUCT((tHosts[Cluster]=A31)*tHosts[CPUs]*(100-tHosts[Consumed CPU %])/100),0))</f>
        <v/>
      </c>
      <c r="H31" s="35">
        <f>IF(A31="","",ROUND(SUMIF(tHosts[Cluster],A31,tHosts[Memory Size (MB)])/1024,0))</f>
        <v/>
      </c>
      <c r="I31" s="35">
        <f>IF(A31="","",ROUND(SUMPRODUCT((tHosts[Cluster]=A31)*tHosts[Memory Size (MB)]*tHosts[Consumed Memory %]/100)/1024,0))</f>
        <v/>
      </c>
      <c r="J31" s="36">
        <f>IF(A31="","",IFERROR(1-I31/H31,0))</f>
        <v/>
      </c>
      <c r="K31" s="37">
        <f>IF(A31="","",IF(J31&lt;0.2,"🔴 Critique (&lt;20%)",IF(J31&lt;0.3,"⚠️ Warning (&lt;30%)","✅ OK (≥30%)")))</f>
        <v/>
      </c>
      <c r="L31" s="35">
        <f>IF(A31="","",COUNTIF(tVMs[Cluster],A31))</f>
        <v/>
      </c>
      <c r="M31" s="35">
        <f>IF(A31="","",SUMIF(tVMs[Cluster],A31,tVMs[Provisioned Space]))</f>
        <v/>
      </c>
      <c r="N31" s="35">
        <f>IF(A31="","",SUMIF(tVMs[Cluster],A31,tVMs[Used Space]))</f>
        <v/>
      </c>
      <c r="O31" s="37">
        <f>IF(A31="","",IF(E31&lt;0.2,"🔴 CPU critique",IF(J31&lt;0.2,"🔴 RAM critique",IF(E31&lt;0.3,"⚠️ CPU warning",IF(J31&lt;0.3,"⚠️ RAM warning","✅ OK")))))</f>
        <v/>
      </c>
    </row>
    <row r="32" ht="19" customHeight="1">
      <c r="A32" s="30">
        <f>IFERROR(INDEX(tHosts[Cluster],MATCH(0,COUNTIF($A$12:$A$31,tHosts[Cluster]),0)),"")</f>
        <v/>
      </c>
      <c r="B32" s="31">
        <f>IF(A32="","",COUNTIF(tHosts[Cluster],A32))</f>
        <v/>
      </c>
      <c r="C32" s="31">
        <f>IF(A32="","",SUMIF(tHosts[Cluster],A32,tHosts[CPUs]))</f>
        <v/>
      </c>
      <c r="D32" s="32">
        <f>IF(A32="","",IFERROR(AVERAGEIF(tHosts[Cluster],A32,tHosts[Consumed CPU %])/100,0))</f>
        <v/>
      </c>
      <c r="E32" s="32">
        <f>IF(A32="","",IFERROR(1-D32,0))</f>
        <v/>
      </c>
      <c r="F32" s="33">
        <f>IF(A32="","",IF(E32&lt;0.2,"🔴 Critique (&lt;20%)",IF(E32&lt;0.3,"⚠️ Warning (&lt;30%)","✅ OK (≥30%)")))</f>
        <v/>
      </c>
      <c r="G32" s="31">
        <f>IF(A32="","",ROUND(SUMPRODUCT((tHosts[Cluster]=A32)*tHosts[CPUs]*(100-tHosts[Consumed CPU %])/100),0))</f>
        <v/>
      </c>
      <c r="H32" s="31">
        <f>IF(A32="","",ROUND(SUMIF(tHosts[Cluster],A32,tHosts[Memory Size (MB)])/1024,0))</f>
        <v/>
      </c>
      <c r="I32" s="31">
        <f>IF(A32="","",ROUND(SUMPRODUCT((tHosts[Cluster]=A32)*tHosts[Memory Size (MB)]*tHosts[Consumed Memory %]/100)/1024,0))</f>
        <v/>
      </c>
      <c r="J32" s="32">
        <f>IF(A32="","",IFERROR(1-I32/H32,0))</f>
        <v/>
      </c>
      <c r="K32" s="33">
        <f>IF(A32="","",IF(J32&lt;0.2,"🔴 Critique (&lt;20%)",IF(J32&lt;0.3,"⚠️ Warning (&lt;30%)","✅ OK (≥30%)")))</f>
        <v/>
      </c>
      <c r="L32" s="31">
        <f>IF(A32="","",COUNTIF(tVMs[Cluster],A32))</f>
        <v/>
      </c>
      <c r="M32" s="31">
        <f>IF(A32="","",SUMIF(tVMs[Cluster],A32,tVMs[Provisioned Space]))</f>
        <v/>
      </c>
      <c r="N32" s="31">
        <f>IF(A32="","",SUMIF(tVMs[Cluster],A32,tVMs[Used Space]))</f>
        <v/>
      </c>
      <c r="O32" s="33">
        <f>IF(A32="","",IF(E32&lt;0.2,"🔴 CPU critique",IF(J32&lt;0.2,"🔴 RAM critique",IF(E32&lt;0.3,"⚠️ CPU warning",IF(J32&lt;0.3,"⚠️ RAM warning","✅ OK")))))</f>
        <v/>
      </c>
    </row>
    <row r="33" ht="19" customHeight="1">
      <c r="A33" s="34">
        <f>IFERROR(INDEX(tHosts[Cluster],MATCH(0,COUNTIF($A$12:$A$32,tHosts[Cluster]),0)),"")</f>
        <v/>
      </c>
      <c r="B33" s="35">
        <f>IF(A33="","",COUNTIF(tHosts[Cluster],A33))</f>
        <v/>
      </c>
      <c r="C33" s="35">
        <f>IF(A33="","",SUMIF(tHosts[Cluster],A33,tHosts[CPUs]))</f>
        <v/>
      </c>
      <c r="D33" s="36">
        <f>IF(A33="","",IFERROR(AVERAGEIF(tHosts[Cluster],A33,tHosts[Consumed CPU %])/100,0))</f>
        <v/>
      </c>
      <c r="E33" s="36">
        <f>IF(A33="","",IFERROR(1-D33,0))</f>
        <v/>
      </c>
      <c r="F33" s="37">
        <f>IF(A33="","",IF(E33&lt;0.2,"🔴 Critique (&lt;20%)",IF(E33&lt;0.3,"⚠️ Warning (&lt;30%)","✅ OK (≥30%)")))</f>
        <v/>
      </c>
      <c r="G33" s="35">
        <f>IF(A33="","",ROUND(SUMPRODUCT((tHosts[Cluster]=A33)*tHosts[CPUs]*(100-tHosts[Consumed CPU %])/100),0))</f>
        <v/>
      </c>
      <c r="H33" s="35">
        <f>IF(A33="","",ROUND(SUMIF(tHosts[Cluster],A33,tHosts[Memory Size (MB)])/1024,0))</f>
        <v/>
      </c>
      <c r="I33" s="35">
        <f>IF(A33="","",ROUND(SUMPRODUCT((tHosts[Cluster]=A33)*tHosts[Memory Size (MB)]*tHosts[Consumed Memory %]/100)/1024,0))</f>
        <v/>
      </c>
      <c r="J33" s="36">
        <f>IF(A33="","",IFERROR(1-I33/H33,0))</f>
        <v/>
      </c>
      <c r="K33" s="37">
        <f>IF(A33="","",IF(J33&lt;0.2,"🔴 Critique (&lt;20%)",IF(J33&lt;0.3,"⚠️ Warning (&lt;30%)","✅ OK (≥30%)")))</f>
        <v/>
      </c>
      <c r="L33" s="35">
        <f>IF(A33="","",COUNTIF(tVMs[Cluster],A33))</f>
        <v/>
      </c>
      <c r="M33" s="35">
        <f>IF(A33="","",SUMIF(tVMs[Cluster],A33,tVMs[Provisioned Space]))</f>
        <v/>
      </c>
      <c r="N33" s="35">
        <f>IF(A33="","",SUMIF(tVMs[Cluster],A33,tVMs[Used Space]))</f>
        <v/>
      </c>
      <c r="O33" s="37">
        <f>IF(A33="","",IF(E33&lt;0.2,"🔴 CPU critique",IF(J33&lt;0.2,"🔴 RAM critique",IF(E33&lt;0.3,"⚠️ CPU warning",IF(J33&lt;0.3,"⚠️ RAM warning","✅ OK")))))</f>
        <v/>
      </c>
    </row>
    <row r="34" ht="19" customHeight="1">
      <c r="A34" s="30">
        <f>IFERROR(INDEX(tHosts[Cluster],MATCH(0,COUNTIF($A$12:$A$33,tHosts[Cluster]),0)),"")</f>
        <v/>
      </c>
      <c r="B34" s="31">
        <f>IF(A34="","",COUNTIF(tHosts[Cluster],A34))</f>
        <v/>
      </c>
      <c r="C34" s="31">
        <f>IF(A34="","",SUMIF(tHosts[Cluster],A34,tHosts[CPUs]))</f>
        <v/>
      </c>
      <c r="D34" s="32">
        <f>IF(A34="","",IFERROR(AVERAGEIF(tHosts[Cluster],A34,tHosts[Consumed CPU %])/100,0))</f>
        <v/>
      </c>
      <c r="E34" s="32">
        <f>IF(A34="","",IFERROR(1-D34,0))</f>
        <v/>
      </c>
      <c r="F34" s="33">
        <f>IF(A34="","",IF(E34&lt;0.2,"🔴 Critique (&lt;20%)",IF(E34&lt;0.3,"⚠️ Warning (&lt;30%)","✅ OK (≥30%)")))</f>
        <v/>
      </c>
      <c r="G34" s="31">
        <f>IF(A34="","",ROUND(SUMPRODUCT((tHosts[Cluster]=A34)*tHosts[CPUs]*(100-tHosts[Consumed CPU %])/100),0))</f>
        <v/>
      </c>
      <c r="H34" s="31">
        <f>IF(A34="","",ROUND(SUMIF(tHosts[Cluster],A34,tHosts[Memory Size (MB)])/1024,0))</f>
        <v/>
      </c>
      <c r="I34" s="31">
        <f>IF(A34="","",ROUND(SUMPRODUCT((tHosts[Cluster]=A34)*tHosts[Memory Size (MB)]*tHosts[Consumed Memory %]/100)/1024,0))</f>
        <v/>
      </c>
      <c r="J34" s="32">
        <f>IF(A34="","",IFERROR(1-I34/H34,0))</f>
        <v/>
      </c>
      <c r="K34" s="33">
        <f>IF(A34="","",IF(J34&lt;0.2,"🔴 Critique (&lt;20%)",IF(J34&lt;0.3,"⚠️ Warning (&lt;30%)","✅ OK (≥30%)")))</f>
        <v/>
      </c>
      <c r="L34" s="31">
        <f>IF(A34="","",COUNTIF(tVMs[Cluster],A34))</f>
        <v/>
      </c>
      <c r="M34" s="31">
        <f>IF(A34="","",SUMIF(tVMs[Cluster],A34,tVMs[Provisioned Space]))</f>
        <v/>
      </c>
      <c r="N34" s="31">
        <f>IF(A34="","",SUMIF(tVMs[Cluster],A34,tVMs[Used Space]))</f>
        <v/>
      </c>
      <c r="O34" s="33">
        <f>IF(A34="","",IF(E34&lt;0.2,"🔴 CPU critique",IF(J34&lt;0.2,"🔴 RAM critique",IF(E34&lt;0.3,"⚠️ CPU warning",IF(J34&lt;0.3,"⚠️ RAM warning","✅ OK")))))</f>
        <v/>
      </c>
    </row>
    <row r="35" ht="19" customHeight="1">
      <c r="A35" s="34">
        <f>IFERROR(INDEX(tHosts[Cluster],MATCH(0,COUNTIF($A$12:$A$34,tHosts[Cluster]),0)),"")</f>
        <v/>
      </c>
      <c r="B35" s="35">
        <f>IF(A35="","",COUNTIF(tHosts[Cluster],A35))</f>
        <v/>
      </c>
      <c r="C35" s="35">
        <f>IF(A35="","",SUMIF(tHosts[Cluster],A35,tHosts[CPUs]))</f>
        <v/>
      </c>
      <c r="D35" s="36">
        <f>IF(A35="","",IFERROR(AVERAGEIF(tHosts[Cluster],A35,tHosts[Consumed CPU %])/100,0))</f>
        <v/>
      </c>
      <c r="E35" s="36">
        <f>IF(A35="","",IFERROR(1-D35,0))</f>
        <v/>
      </c>
      <c r="F35" s="37">
        <f>IF(A35="","",IF(E35&lt;0.2,"🔴 Critique (&lt;20%)",IF(E35&lt;0.3,"⚠️ Warning (&lt;30%)","✅ OK (≥30%)")))</f>
        <v/>
      </c>
      <c r="G35" s="35">
        <f>IF(A35="","",ROUND(SUMPRODUCT((tHosts[Cluster]=A35)*tHosts[CPUs]*(100-tHosts[Consumed CPU %])/100),0))</f>
        <v/>
      </c>
      <c r="H35" s="35">
        <f>IF(A35="","",ROUND(SUMIF(tHosts[Cluster],A35,tHosts[Memory Size (MB)])/1024,0))</f>
        <v/>
      </c>
      <c r="I35" s="35">
        <f>IF(A35="","",ROUND(SUMPRODUCT((tHosts[Cluster]=A35)*tHosts[Memory Size (MB)]*tHosts[Consumed Memory %]/100)/1024,0))</f>
        <v/>
      </c>
      <c r="J35" s="36">
        <f>IF(A35="","",IFERROR(1-I35/H35,0))</f>
        <v/>
      </c>
      <c r="K35" s="37">
        <f>IF(A35="","",IF(J35&lt;0.2,"🔴 Critique (&lt;20%)",IF(J35&lt;0.3,"⚠️ Warning (&lt;30%)","✅ OK (≥30%)")))</f>
        <v/>
      </c>
      <c r="L35" s="35">
        <f>IF(A35="","",COUNTIF(tVMs[Cluster],A35))</f>
        <v/>
      </c>
      <c r="M35" s="35">
        <f>IF(A35="","",SUMIF(tVMs[Cluster],A35,tVMs[Provisioned Space]))</f>
        <v/>
      </c>
      <c r="N35" s="35">
        <f>IF(A35="","",SUMIF(tVMs[Cluster],A35,tVMs[Used Space]))</f>
        <v/>
      </c>
      <c r="O35" s="37">
        <f>IF(A35="","",IF(E35&lt;0.2,"🔴 CPU critique",IF(J35&lt;0.2,"🔴 RAM critique",IF(E35&lt;0.3,"⚠️ CPU warning",IF(J35&lt;0.3,"⚠️ RAM warning","✅ OK")))))</f>
        <v/>
      </c>
    </row>
    <row r="36" ht="19" customHeight="1">
      <c r="A36" s="30">
        <f>IFERROR(INDEX(tHosts[Cluster],MATCH(0,COUNTIF($A$12:$A$35,tHosts[Cluster]),0)),"")</f>
        <v/>
      </c>
      <c r="B36" s="31">
        <f>IF(A36="","",COUNTIF(tHosts[Cluster],A36))</f>
        <v/>
      </c>
      <c r="C36" s="31">
        <f>IF(A36="","",SUMIF(tHosts[Cluster],A36,tHosts[CPUs]))</f>
        <v/>
      </c>
      <c r="D36" s="32">
        <f>IF(A36="","",IFERROR(AVERAGEIF(tHosts[Cluster],A36,tHosts[Consumed CPU %])/100,0))</f>
        <v/>
      </c>
      <c r="E36" s="32">
        <f>IF(A36="","",IFERROR(1-D36,0))</f>
        <v/>
      </c>
      <c r="F36" s="33">
        <f>IF(A36="","",IF(E36&lt;0.2,"🔴 Critique (&lt;20%)",IF(E36&lt;0.3,"⚠️ Warning (&lt;30%)","✅ OK (≥30%)")))</f>
        <v/>
      </c>
      <c r="G36" s="31">
        <f>IF(A36="","",ROUND(SUMPRODUCT((tHosts[Cluster]=A36)*tHosts[CPUs]*(100-tHosts[Consumed CPU %])/100),0))</f>
        <v/>
      </c>
      <c r="H36" s="31">
        <f>IF(A36="","",ROUND(SUMIF(tHosts[Cluster],A36,tHosts[Memory Size (MB)])/1024,0))</f>
        <v/>
      </c>
      <c r="I36" s="31">
        <f>IF(A36="","",ROUND(SUMPRODUCT((tHosts[Cluster]=A36)*tHosts[Memory Size (MB)]*tHosts[Consumed Memory %]/100)/1024,0))</f>
        <v/>
      </c>
      <c r="J36" s="32">
        <f>IF(A36="","",IFERROR(1-I36/H36,0))</f>
        <v/>
      </c>
      <c r="K36" s="33">
        <f>IF(A36="","",IF(J36&lt;0.2,"🔴 Critique (&lt;20%)",IF(J36&lt;0.3,"⚠️ Warning (&lt;30%)","✅ OK (≥30%)")))</f>
        <v/>
      </c>
      <c r="L36" s="31">
        <f>IF(A36="","",COUNTIF(tVMs[Cluster],A36))</f>
        <v/>
      </c>
      <c r="M36" s="31">
        <f>IF(A36="","",SUMIF(tVMs[Cluster],A36,tVMs[Provisioned Space]))</f>
        <v/>
      </c>
      <c r="N36" s="31">
        <f>IF(A36="","",SUMIF(tVMs[Cluster],A36,tVMs[Used Space]))</f>
        <v/>
      </c>
      <c r="O36" s="33">
        <f>IF(A36="","",IF(E36&lt;0.2,"🔴 CPU critique",IF(J36&lt;0.2,"🔴 RAM critique",IF(E36&lt;0.3,"⚠️ CPU warning",IF(J36&lt;0.3,"⚠️ RAM warning","✅ OK")))))</f>
        <v/>
      </c>
    </row>
    <row r="37" ht="19" customHeight="1">
      <c r="A37" s="34">
        <f>IFERROR(INDEX(tHosts[Cluster],MATCH(0,COUNTIF($A$12:$A$36,tHosts[Cluster]),0)),"")</f>
        <v/>
      </c>
      <c r="B37" s="35">
        <f>IF(A37="","",COUNTIF(tHosts[Cluster],A37))</f>
        <v/>
      </c>
      <c r="C37" s="35">
        <f>IF(A37="","",SUMIF(tHosts[Cluster],A37,tHosts[CPUs]))</f>
        <v/>
      </c>
      <c r="D37" s="36">
        <f>IF(A37="","",IFERROR(AVERAGEIF(tHosts[Cluster],A37,tHosts[Consumed CPU %])/100,0))</f>
        <v/>
      </c>
      <c r="E37" s="36">
        <f>IF(A37="","",IFERROR(1-D37,0))</f>
        <v/>
      </c>
      <c r="F37" s="37">
        <f>IF(A37="","",IF(E37&lt;0.2,"🔴 Critique (&lt;20%)",IF(E37&lt;0.3,"⚠️ Warning (&lt;30%)","✅ OK (≥30%)")))</f>
        <v/>
      </c>
      <c r="G37" s="35">
        <f>IF(A37="","",ROUND(SUMPRODUCT((tHosts[Cluster]=A37)*tHosts[CPUs]*(100-tHosts[Consumed CPU %])/100),0))</f>
        <v/>
      </c>
      <c r="H37" s="35">
        <f>IF(A37="","",ROUND(SUMIF(tHosts[Cluster],A37,tHosts[Memory Size (MB)])/1024,0))</f>
        <v/>
      </c>
      <c r="I37" s="35">
        <f>IF(A37="","",ROUND(SUMPRODUCT((tHosts[Cluster]=A37)*tHosts[Memory Size (MB)]*tHosts[Consumed Memory %]/100)/1024,0))</f>
        <v/>
      </c>
      <c r="J37" s="36">
        <f>IF(A37="","",IFERROR(1-I37/H37,0))</f>
        <v/>
      </c>
      <c r="K37" s="37">
        <f>IF(A37="","",IF(J37&lt;0.2,"🔴 Critique (&lt;20%)",IF(J37&lt;0.3,"⚠️ Warning (&lt;30%)","✅ OK (≥30%)")))</f>
        <v/>
      </c>
      <c r="L37" s="35">
        <f>IF(A37="","",COUNTIF(tVMs[Cluster],A37))</f>
        <v/>
      </c>
      <c r="M37" s="35">
        <f>IF(A37="","",SUMIF(tVMs[Cluster],A37,tVMs[Provisioned Space]))</f>
        <v/>
      </c>
      <c r="N37" s="35">
        <f>IF(A37="","",SUMIF(tVMs[Cluster],A37,tVMs[Used Space]))</f>
        <v/>
      </c>
      <c r="O37" s="37">
        <f>IF(A37="","",IF(E37&lt;0.2,"🔴 CPU critique",IF(J37&lt;0.2,"🔴 RAM critique",IF(E37&lt;0.3,"⚠️ CPU warning",IF(J37&lt;0.3,"⚠️ RAM warning","✅ OK")))))</f>
        <v/>
      </c>
    </row>
    <row r="38" ht="19" customHeight="1">
      <c r="A38" s="30">
        <f>IFERROR(INDEX(tHosts[Cluster],MATCH(0,COUNTIF($A$12:$A$37,tHosts[Cluster]),0)),"")</f>
        <v/>
      </c>
      <c r="B38" s="31">
        <f>IF(A38="","",COUNTIF(tHosts[Cluster],A38))</f>
        <v/>
      </c>
      <c r="C38" s="31">
        <f>IF(A38="","",SUMIF(tHosts[Cluster],A38,tHosts[CPUs]))</f>
        <v/>
      </c>
      <c r="D38" s="32">
        <f>IF(A38="","",IFERROR(AVERAGEIF(tHosts[Cluster],A38,tHosts[Consumed CPU %])/100,0))</f>
        <v/>
      </c>
      <c r="E38" s="32">
        <f>IF(A38="","",IFERROR(1-D38,0))</f>
        <v/>
      </c>
      <c r="F38" s="33">
        <f>IF(A38="","",IF(E38&lt;0.2,"🔴 Critique (&lt;20%)",IF(E38&lt;0.3,"⚠️ Warning (&lt;30%)","✅ OK (≥30%)")))</f>
        <v/>
      </c>
      <c r="G38" s="31">
        <f>IF(A38="","",ROUND(SUMPRODUCT((tHosts[Cluster]=A38)*tHosts[CPUs]*(100-tHosts[Consumed CPU %])/100),0))</f>
        <v/>
      </c>
      <c r="H38" s="31">
        <f>IF(A38="","",ROUND(SUMIF(tHosts[Cluster],A38,tHosts[Memory Size (MB)])/1024,0))</f>
        <v/>
      </c>
      <c r="I38" s="31">
        <f>IF(A38="","",ROUND(SUMPRODUCT((tHosts[Cluster]=A38)*tHosts[Memory Size (MB)]*tHosts[Consumed Memory %]/100)/1024,0))</f>
        <v/>
      </c>
      <c r="J38" s="32">
        <f>IF(A38="","",IFERROR(1-I38/H38,0))</f>
        <v/>
      </c>
      <c r="K38" s="33">
        <f>IF(A38="","",IF(J38&lt;0.2,"🔴 Critique (&lt;20%)",IF(J38&lt;0.3,"⚠️ Warning (&lt;30%)","✅ OK (≥30%)")))</f>
        <v/>
      </c>
      <c r="L38" s="31">
        <f>IF(A38="","",COUNTIF(tVMs[Cluster],A38))</f>
        <v/>
      </c>
      <c r="M38" s="31">
        <f>IF(A38="","",SUMIF(tVMs[Cluster],A38,tVMs[Provisioned Space]))</f>
        <v/>
      </c>
      <c r="N38" s="31">
        <f>IF(A38="","",SUMIF(tVMs[Cluster],A38,tVMs[Used Space]))</f>
        <v/>
      </c>
      <c r="O38" s="33">
        <f>IF(A38="","",IF(E38&lt;0.2,"🔴 CPU critique",IF(J38&lt;0.2,"🔴 RAM critique",IF(E38&lt;0.3,"⚠️ CPU warning",IF(J38&lt;0.3,"⚠️ RAM warning","✅ OK")))))</f>
        <v/>
      </c>
    </row>
    <row r="39" ht="19" customHeight="1">
      <c r="A39" s="34">
        <f>IFERROR(INDEX(tHosts[Cluster],MATCH(0,COUNTIF($A$12:$A$38,tHosts[Cluster]),0)),"")</f>
        <v/>
      </c>
      <c r="B39" s="35">
        <f>IF(A39="","",COUNTIF(tHosts[Cluster],A39))</f>
        <v/>
      </c>
      <c r="C39" s="35">
        <f>IF(A39="","",SUMIF(tHosts[Cluster],A39,tHosts[CPUs]))</f>
        <v/>
      </c>
      <c r="D39" s="36">
        <f>IF(A39="","",IFERROR(AVERAGEIF(tHosts[Cluster],A39,tHosts[Consumed CPU %])/100,0))</f>
        <v/>
      </c>
      <c r="E39" s="36">
        <f>IF(A39="","",IFERROR(1-D39,0))</f>
        <v/>
      </c>
      <c r="F39" s="37">
        <f>IF(A39="","",IF(E39&lt;0.2,"🔴 Critique (&lt;20%)",IF(E39&lt;0.3,"⚠️ Warning (&lt;30%)","✅ OK (≥30%)")))</f>
        <v/>
      </c>
      <c r="G39" s="35">
        <f>IF(A39="","",ROUND(SUMPRODUCT((tHosts[Cluster]=A39)*tHosts[CPUs]*(100-tHosts[Consumed CPU %])/100),0))</f>
        <v/>
      </c>
      <c r="H39" s="35">
        <f>IF(A39="","",ROUND(SUMIF(tHosts[Cluster],A39,tHosts[Memory Size (MB)])/1024,0))</f>
        <v/>
      </c>
      <c r="I39" s="35">
        <f>IF(A39="","",ROUND(SUMPRODUCT((tHosts[Cluster]=A39)*tHosts[Memory Size (MB)]*tHosts[Consumed Memory %]/100)/1024,0))</f>
        <v/>
      </c>
      <c r="J39" s="36">
        <f>IF(A39="","",IFERROR(1-I39/H39,0))</f>
        <v/>
      </c>
      <c r="K39" s="37">
        <f>IF(A39="","",IF(J39&lt;0.2,"🔴 Critique (&lt;20%)",IF(J39&lt;0.3,"⚠️ Warning (&lt;30%)","✅ OK (≥30%)")))</f>
        <v/>
      </c>
      <c r="L39" s="35">
        <f>IF(A39="","",COUNTIF(tVMs[Cluster],A39))</f>
        <v/>
      </c>
      <c r="M39" s="35">
        <f>IF(A39="","",SUMIF(tVMs[Cluster],A39,tVMs[Provisioned Space]))</f>
        <v/>
      </c>
      <c r="N39" s="35">
        <f>IF(A39="","",SUMIF(tVMs[Cluster],A39,tVMs[Used Space]))</f>
        <v/>
      </c>
      <c r="O39" s="37">
        <f>IF(A39="","",IF(E39&lt;0.2,"🔴 CPU critique",IF(J39&lt;0.2,"🔴 RAM critique",IF(E39&lt;0.3,"⚠️ CPU warning",IF(J39&lt;0.3,"⚠️ RAM warning","✅ OK")))))</f>
        <v/>
      </c>
    </row>
    <row r="40" ht="19" customHeight="1">
      <c r="A40" s="30">
        <f>IFERROR(INDEX(tHosts[Cluster],MATCH(0,COUNTIF($A$12:$A$39,tHosts[Cluster]),0)),"")</f>
        <v/>
      </c>
      <c r="B40" s="31">
        <f>IF(A40="","",COUNTIF(tHosts[Cluster],A40))</f>
        <v/>
      </c>
      <c r="C40" s="31">
        <f>IF(A40="","",SUMIF(tHosts[Cluster],A40,tHosts[CPUs]))</f>
        <v/>
      </c>
      <c r="D40" s="32">
        <f>IF(A40="","",IFERROR(AVERAGEIF(tHosts[Cluster],A40,tHosts[Consumed CPU %])/100,0))</f>
        <v/>
      </c>
      <c r="E40" s="32">
        <f>IF(A40="","",IFERROR(1-D40,0))</f>
        <v/>
      </c>
      <c r="F40" s="33">
        <f>IF(A40="","",IF(E40&lt;0.2,"🔴 Critique (&lt;20%)",IF(E40&lt;0.3,"⚠️ Warning (&lt;30%)","✅ OK (≥30%)")))</f>
        <v/>
      </c>
      <c r="G40" s="31">
        <f>IF(A40="","",ROUND(SUMPRODUCT((tHosts[Cluster]=A40)*tHosts[CPUs]*(100-tHosts[Consumed CPU %])/100),0))</f>
        <v/>
      </c>
      <c r="H40" s="31">
        <f>IF(A40="","",ROUND(SUMIF(tHosts[Cluster],A40,tHosts[Memory Size (MB)])/1024,0))</f>
        <v/>
      </c>
      <c r="I40" s="31">
        <f>IF(A40="","",ROUND(SUMPRODUCT((tHosts[Cluster]=A40)*tHosts[Memory Size (MB)]*tHosts[Consumed Memory %]/100)/1024,0))</f>
        <v/>
      </c>
      <c r="J40" s="32">
        <f>IF(A40="","",IFERROR(1-I40/H40,0))</f>
        <v/>
      </c>
      <c r="K40" s="33">
        <f>IF(A40="","",IF(J40&lt;0.2,"🔴 Critique (&lt;20%)",IF(J40&lt;0.3,"⚠️ Warning (&lt;30%)","✅ OK (≥30%)")))</f>
        <v/>
      </c>
      <c r="L40" s="31">
        <f>IF(A40="","",COUNTIF(tVMs[Cluster],A40))</f>
        <v/>
      </c>
      <c r="M40" s="31">
        <f>IF(A40="","",SUMIF(tVMs[Cluster],A40,tVMs[Provisioned Space]))</f>
        <v/>
      </c>
      <c r="N40" s="31">
        <f>IF(A40="","",SUMIF(tVMs[Cluster],A40,tVMs[Used Space]))</f>
        <v/>
      </c>
      <c r="O40" s="33">
        <f>IF(A40="","",IF(E40&lt;0.2,"🔴 CPU critique",IF(J40&lt;0.2,"🔴 RAM critique",IF(E40&lt;0.3,"⚠️ CPU warning",IF(J40&lt;0.3,"⚠️ RAM warning","✅ OK")))))</f>
        <v/>
      </c>
    </row>
    <row r="41" ht="19" customHeight="1">
      <c r="A41" s="34">
        <f>IFERROR(INDEX(tHosts[Cluster],MATCH(0,COUNTIF($A$12:$A$40,tHosts[Cluster]),0)),"")</f>
        <v/>
      </c>
      <c r="B41" s="35">
        <f>IF(A41="","",COUNTIF(tHosts[Cluster],A41))</f>
        <v/>
      </c>
      <c r="C41" s="35">
        <f>IF(A41="","",SUMIF(tHosts[Cluster],A41,tHosts[CPUs]))</f>
        <v/>
      </c>
      <c r="D41" s="36">
        <f>IF(A41="","",IFERROR(AVERAGEIF(tHosts[Cluster],A41,tHosts[Consumed CPU %])/100,0))</f>
        <v/>
      </c>
      <c r="E41" s="36">
        <f>IF(A41="","",IFERROR(1-D41,0))</f>
        <v/>
      </c>
      <c r="F41" s="37">
        <f>IF(A41="","",IF(E41&lt;0.2,"🔴 Critique (&lt;20%)",IF(E41&lt;0.3,"⚠️ Warning (&lt;30%)","✅ OK (≥30%)")))</f>
        <v/>
      </c>
      <c r="G41" s="35">
        <f>IF(A41="","",ROUND(SUMPRODUCT((tHosts[Cluster]=A41)*tHosts[CPUs]*(100-tHosts[Consumed CPU %])/100),0))</f>
        <v/>
      </c>
      <c r="H41" s="35">
        <f>IF(A41="","",ROUND(SUMIF(tHosts[Cluster],A41,tHosts[Memory Size (MB)])/1024,0))</f>
        <v/>
      </c>
      <c r="I41" s="35">
        <f>IF(A41="","",ROUND(SUMPRODUCT((tHosts[Cluster]=A41)*tHosts[Memory Size (MB)]*tHosts[Consumed Memory %]/100)/1024,0))</f>
        <v/>
      </c>
      <c r="J41" s="36">
        <f>IF(A41="","",IFERROR(1-I41/H41,0))</f>
        <v/>
      </c>
      <c r="K41" s="37">
        <f>IF(A41="","",IF(J41&lt;0.2,"🔴 Critique (&lt;20%)",IF(J41&lt;0.3,"⚠️ Warning (&lt;30%)","✅ OK (≥30%)")))</f>
        <v/>
      </c>
      <c r="L41" s="35">
        <f>IF(A41="","",COUNTIF(tVMs[Cluster],A41))</f>
        <v/>
      </c>
      <c r="M41" s="35">
        <f>IF(A41="","",SUMIF(tVMs[Cluster],A41,tVMs[Provisioned Space]))</f>
        <v/>
      </c>
      <c r="N41" s="35">
        <f>IF(A41="","",SUMIF(tVMs[Cluster],A41,tVMs[Used Space]))</f>
        <v/>
      </c>
      <c r="O41" s="37">
        <f>IF(A41="","",IF(E41&lt;0.2,"🔴 CPU critique",IF(J41&lt;0.2,"🔴 RAM critique",IF(E41&lt;0.3,"⚠️ CPU warning",IF(J41&lt;0.3,"⚠️ RAM warning","✅ OK")))))</f>
        <v/>
      </c>
    </row>
    <row r="42" ht="19" customHeight="1">
      <c r="A42" s="30">
        <f>IFERROR(INDEX(tHosts[Cluster],MATCH(0,COUNTIF($A$12:$A$41,tHosts[Cluster]),0)),"")</f>
        <v/>
      </c>
      <c r="B42" s="31">
        <f>IF(A42="","",COUNTIF(tHosts[Cluster],A42))</f>
        <v/>
      </c>
      <c r="C42" s="31">
        <f>IF(A42="","",SUMIF(tHosts[Cluster],A42,tHosts[CPUs]))</f>
        <v/>
      </c>
      <c r="D42" s="32">
        <f>IF(A42="","",IFERROR(AVERAGEIF(tHosts[Cluster],A42,tHosts[Consumed CPU %])/100,0))</f>
        <v/>
      </c>
      <c r="E42" s="32">
        <f>IF(A42="","",IFERROR(1-D42,0))</f>
        <v/>
      </c>
      <c r="F42" s="33">
        <f>IF(A42="","",IF(E42&lt;0.2,"🔴 Critique (&lt;20%)",IF(E42&lt;0.3,"⚠️ Warning (&lt;30%)","✅ OK (≥30%)")))</f>
        <v/>
      </c>
      <c r="G42" s="31">
        <f>IF(A42="","",ROUND(SUMPRODUCT((tHosts[Cluster]=A42)*tHosts[CPUs]*(100-tHosts[Consumed CPU %])/100),0))</f>
        <v/>
      </c>
      <c r="H42" s="31">
        <f>IF(A42="","",ROUND(SUMIF(tHosts[Cluster],A42,tHosts[Memory Size (MB)])/1024,0))</f>
        <v/>
      </c>
      <c r="I42" s="31">
        <f>IF(A42="","",ROUND(SUMPRODUCT((tHosts[Cluster]=A42)*tHosts[Memory Size (MB)]*tHosts[Consumed Memory %]/100)/1024,0))</f>
        <v/>
      </c>
      <c r="J42" s="32">
        <f>IF(A42="","",IFERROR(1-I42/H42,0))</f>
        <v/>
      </c>
      <c r="K42" s="33">
        <f>IF(A42="","",IF(J42&lt;0.2,"🔴 Critique (&lt;20%)",IF(J42&lt;0.3,"⚠️ Warning (&lt;30%)","✅ OK (≥30%)")))</f>
        <v/>
      </c>
      <c r="L42" s="31">
        <f>IF(A42="","",COUNTIF(tVMs[Cluster],A42))</f>
        <v/>
      </c>
      <c r="M42" s="31">
        <f>IF(A42="","",SUMIF(tVMs[Cluster],A42,tVMs[Provisioned Space]))</f>
        <v/>
      </c>
      <c r="N42" s="31">
        <f>IF(A42="","",SUMIF(tVMs[Cluster],A42,tVMs[Used Space]))</f>
        <v/>
      </c>
      <c r="O42" s="33">
        <f>IF(A42="","",IF(E42&lt;0.2,"🔴 CPU critique",IF(J42&lt;0.2,"🔴 RAM critique",IF(E42&lt;0.3,"⚠️ CPU warning",IF(J42&lt;0.3,"⚠️ RAM warning","✅ OK")))))</f>
        <v/>
      </c>
    </row>
    <row r="43" ht="19" customHeight="1">
      <c r="A43" s="34">
        <f>IFERROR(INDEX(tHosts[Cluster],MATCH(0,COUNTIF($A$12:$A$42,tHosts[Cluster]),0)),"")</f>
        <v/>
      </c>
      <c r="B43" s="35">
        <f>IF(A43="","",COUNTIF(tHosts[Cluster],A43))</f>
        <v/>
      </c>
      <c r="C43" s="35">
        <f>IF(A43="","",SUMIF(tHosts[Cluster],A43,tHosts[CPUs]))</f>
        <v/>
      </c>
      <c r="D43" s="36">
        <f>IF(A43="","",IFERROR(AVERAGEIF(tHosts[Cluster],A43,tHosts[Consumed CPU %])/100,0))</f>
        <v/>
      </c>
      <c r="E43" s="36">
        <f>IF(A43="","",IFERROR(1-D43,0))</f>
        <v/>
      </c>
      <c r="F43" s="37">
        <f>IF(A43="","",IF(E43&lt;0.2,"🔴 Critique (&lt;20%)",IF(E43&lt;0.3,"⚠️ Warning (&lt;30%)","✅ OK (≥30%)")))</f>
        <v/>
      </c>
      <c r="G43" s="35">
        <f>IF(A43="","",ROUND(SUMPRODUCT((tHosts[Cluster]=A43)*tHosts[CPUs]*(100-tHosts[Consumed CPU %])/100),0))</f>
        <v/>
      </c>
      <c r="H43" s="35">
        <f>IF(A43="","",ROUND(SUMIF(tHosts[Cluster],A43,tHosts[Memory Size (MB)])/1024,0))</f>
        <v/>
      </c>
      <c r="I43" s="35">
        <f>IF(A43="","",ROUND(SUMPRODUCT((tHosts[Cluster]=A43)*tHosts[Memory Size (MB)]*tHosts[Consumed Memory %]/100)/1024,0))</f>
        <v/>
      </c>
      <c r="J43" s="36">
        <f>IF(A43="","",IFERROR(1-I43/H43,0))</f>
        <v/>
      </c>
      <c r="K43" s="37">
        <f>IF(A43="","",IF(J43&lt;0.2,"🔴 Critique (&lt;20%)",IF(J43&lt;0.3,"⚠️ Warning (&lt;30%)","✅ OK (≥30%)")))</f>
        <v/>
      </c>
      <c r="L43" s="35">
        <f>IF(A43="","",COUNTIF(tVMs[Cluster],A43))</f>
        <v/>
      </c>
      <c r="M43" s="35">
        <f>IF(A43="","",SUMIF(tVMs[Cluster],A43,tVMs[Provisioned Space]))</f>
        <v/>
      </c>
      <c r="N43" s="35">
        <f>IF(A43="","",SUMIF(tVMs[Cluster],A43,tVMs[Used Space]))</f>
        <v/>
      </c>
      <c r="O43" s="37">
        <f>IF(A43="","",IF(E43&lt;0.2,"🔴 CPU critique",IF(J43&lt;0.2,"🔴 RAM critique",IF(E43&lt;0.3,"⚠️ CPU warning",IF(J43&lt;0.3,"⚠️ RAM warning","✅ OK")))))</f>
        <v/>
      </c>
    </row>
    <row r="44" ht="19" customHeight="1">
      <c r="A44" s="30">
        <f>IFERROR(INDEX(tHosts[Cluster],MATCH(0,COUNTIF($A$12:$A$43,tHosts[Cluster]),0)),"")</f>
        <v/>
      </c>
      <c r="B44" s="31">
        <f>IF(A44="","",COUNTIF(tHosts[Cluster],A44))</f>
        <v/>
      </c>
      <c r="C44" s="31">
        <f>IF(A44="","",SUMIF(tHosts[Cluster],A44,tHosts[CPUs]))</f>
        <v/>
      </c>
      <c r="D44" s="32">
        <f>IF(A44="","",IFERROR(AVERAGEIF(tHosts[Cluster],A44,tHosts[Consumed CPU %])/100,0))</f>
        <v/>
      </c>
      <c r="E44" s="32">
        <f>IF(A44="","",IFERROR(1-D44,0))</f>
        <v/>
      </c>
      <c r="F44" s="33">
        <f>IF(A44="","",IF(E44&lt;0.2,"🔴 Critique (&lt;20%)",IF(E44&lt;0.3,"⚠️ Warning (&lt;30%)","✅ OK (≥30%)")))</f>
        <v/>
      </c>
      <c r="G44" s="31">
        <f>IF(A44="","",ROUND(SUMPRODUCT((tHosts[Cluster]=A44)*tHosts[CPUs]*(100-tHosts[Consumed CPU %])/100),0))</f>
        <v/>
      </c>
      <c r="H44" s="31">
        <f>IF(A44="","",ROUND(SUMIF(tHosts[Cluster],A44,tHosts[Memory Size (MB)])/1024,0))</f>
        <v/>
      </c>
      <c r="I44" s="31">
        <f>IF(A44="","",ROUND(SUMPRODUCT((tHosts[Cluster]=A44)*tHosts[Memory Size (MB)]*tHosts[Consumed Memory %]/100)/1024,0))</f>
        <v/>
      </c>
      <c r="J44" s="32">
        <f>IF(A44="","",IFERROR(1-I44/H44,0))</f>
        <v/>
      </c>
      <c r="K44" s="33">
        <f>IF(A44="","",IF(J44&lt;0.2,"🔴 Critique (&lt;20%)",IF(J44&lt;0.3,"⚠️ Warning (&lt;30%)","✅ OK (≥30%)")))</f>
        <v/>
      </c>
      <c r="L44" s="31">
        <f>IF(A44="","",COUNTIF(tVMs[Cluster],A44))</f>
        <v/>
      </c>
      <c r="M44" s="31">
        <f>IF(A44="","",SUMIF(tVMs[Cluster],A44,tVMs[Provisioned Space]))</f>
        <v/>
      </c>
      <c r="N44" s="31">
        <f>IF(A44="","",SUMIF(tVMs[Cluster],A44,tVMs[Used Space]))</f>
        <v/>
      </c>
      <c r="O44" s="33">
        <f>IF(A44="","",IF(E44&lt;0.2,"🔴 CPU critique",IF(J44&lt;0.2,"🔴 RAM critique",IF(E44&lt;0.3,"⚠️ CPU warning",IF(J44&lt;0.3,"⚠️ RAM warning","✅ OK")))))</f>
        <v/>
      </c>
    </row>
    <row r="45" ht="19" customHeight="1">
      <c r="A45" s="34">
        <f>IFERROR(INDEX(tHosts[Cluster],MATCH(0,COUNTIF($A$12:$A$44,tHosts[Cluster]),0)),"")</f>
        <v/>
      </c>
      <c r="B45" s="35">
        <f>IF(A45="","",COUNTIF(tHosts[Cluster],A45))</f>
        <v/>
      </c>
      <c r="C45" s="35">
        <f>IF(A45="","",SUMIF(tHosts[Cluster],A45,tHosts[CPUs]))</f>
        <v/>
      </c>
      <c r="D45" s="36">
        <f>IF(A45="","",IFERROR(AVERAGEIF(tHosts[Cluster],A45,tHosts[Consumed CPU %])/100,0))</f>
        <v/>
      </c>
      <c r="E45" s="36">
        <f>IF(A45="","",IFERROR(1-D45,0))</f>
        <v/>
      </c>
      <c r="F45" s="37">
        <f>IF(A45="","",IF(E45&lt;0.2,"🔴 Critique (&lt;20%)",IF(E45&lt;0.3,"⚠️ Warning (&lt;30%)","✅ OK (≥30%)")))</f>
        <v/>
      </c>
      <c r="G45" s="35">
        <f>IF(A45="","",ROUND(SUMPRODUCT((tHosts[Cluster]=A45)*tHosts[CPUs]*(100-tHosts[Consumed CPU %])/100),0))</f>
        <v/>
      </c>
      <c r="H45" s="35">
        <f>IF(A45="","",ROUND(SUMIF(tHosts[Cluster],A45,tHosts[Memory Size (MB)])/1024,0))</f>
        <v/>
      </c>
      <c r="I45" s="35">
        <f>IF(A45="","",ROUND(SUMPRODUCT((tHosts[Cluster]=A45)*tHosts[Memory Size (MB)]*tHosts[Consumed Memory %]/100)/1024,0))</f>
        <v/>
      </c>
      <c r="J45" s="36">
        <f>IF(A45="","",IFERROR(1-I45/H45,0))</f>
        <v/>
      </c>
      <c r="K45" s="37">
        <f>IF(A45="","",IF(J45&lt;0.2,"🔴 Critique (&lt;20%)",IF(J45&lt;0.3,"⚠️ Warning (&lt;30%)","✅ OK (≥30%)")))</f>
        <v/>
      </c>
      <c r="L45" s="35">
        <f>IF(A45="","",COUNTIF(tVMs[Cluster],A45))</f>
        <v/>
      </c>
      <c r="M45" s="35">
        <f>IF(A45="","",SUMIF(tVMs[Cluster],A45,tVMs[Provisioned Space]))</f>
        <v/>
      </c>
      <c r="N45" s="35">
        <f>IF(A45="","",SUMIF(tVMs[Cluster],A45,tVMs[Used Space]))</f>
        <v/>
      </c>
      <c r="O45" s="37">
        <f>IF(A45="","",IF(E45&lt;0.2,"🔴 CPU critique",IF(J45&lt;0.2,"🔴 RAM critique",IF(E45&lt;0.3,"⚠️ CPU warning",IF(J45&lt;0.3,"⚠️ RAM warning","✅ OK")))))</f>
        <v/>
      </c>
    </row>
    <row r="46" ht="19" customHeight="1">
      <c r="A46" s="30">
        <f>IFERROR(INDEX(tHosts[Cluster],MATCH(0,COUNTIF($A$12:$A$45,tHosts[Cluster]),0)),"")</f>
        <v/>
      </c>
      <c r="B46" s="31">
        <f>IF(A46="","",COUNTIF(tHosts[Cluster],A46))</f>
        <v/>
      </c>
      <c r="C46" s="31">
        <f>IF(A46="","",SUMIF(tHosts[Cluster],A46,tHosts[CPUs]))</f>
        <v/>
      </c>
      <c r="D46" s="32">
        <f>IF(A46="","",IFERROR(AVERAGEIF(tHosts[Cluster],A46,tHosts[Consumed CPU %])/100,0))</f>
        <v/>
      </c>
      <c r="E46" s="32">
        <f>IF(A46="","",IFERROR(1-D46,0))</f>
        <v/>
      </c>
      <c r="F46" s="33">
        <f>IF(A46="","",IF(E46&lt;0.2,"🔴 Critique (&lt;20%)",IF(E46&lt;0.3,"⚠️ Warning (&lt;30%)","✅ OK (≥30%)")))</f>
        <v/>
      </c>
      <c r="G46" s="31">
        <f>IF(A46="","",ROUND(SUMPRODUCT((tHosts[Cluster]=A46)*tHosts[CPUs]*(100-tHosts[Consumed CPU %])/100),0))</f>
        <v/>
      </c>
      <c r="H46" s="31">
        <f>IF(A46="","",ROUND(SUMIF(tHosts[Cluster],A46,tHosts[Memory Size (MB)])/1024,0))</f>
        <v/>
      </c>
      <c r="I46" s="31">
        <f>IF(A46="","",ROUND(SUMPRODUCT((tHosts[Cluster]=A46)*tHosts[Memory Size (MB)]*tHosts[Consumed Memory %]/100)/1024,0))</f>
        <v/>
      </c>
      <c r="J46" s="32">
        <f>IF(A46="","",IFERROR(1-I46/H46,0))</f>
        <v/>
      </c>
      <c r="K46" s="33">
        <f>IF(A46="","",IF(J46&lt;0.2,"🔴 Critique (&lt;20%)",IF(J46&lt;0.3,"⚠️ Warning (&lt;30%)","✅ OK (≥30%)")))</f>
        <v/>
      </c>
      <c r="L46" s="31">
        <f>IF(A46="","",COUNTIF(tVMs[Cluster],A46))</f>
        <v/>
      </c>
      <c r="M46" s="31">
        <f>IF(A46="","",SUMIF(tVMs[Cluster],A46,tVMs[Provisioned Space]))</f>
        <v/>
      </c>
      <c r="N46" s="31">
        <f>IF(A46="","",SUMIF(tVMs[Cluster],A46,tVMs[Used Space]))</f>
        <v/>
      </c>
      <c r="O46" s="33">
        <f>IF(A46="","",IF(E46&lt;0.2,"🔴 CPU critique",IF(J46&lt;0.2,"🔴 RAM critique",IF(E46&lt;0.3,"⚠️ CPU warning",IF(J46&lt;0.3,"⚠️ RAM warning","✅ OK")))))</f>
        <v/>
      </c>
    </row>
    <row r="47" ht="19" customHeight="1">
      <c r="A47" s="34">
        <f>IFERROR(INDEX(tHosts[Cluster],MATCH(0,COUNTIF($A$12:$A$46,tHosts[Cluster]),0)),"")</f>
        <v/>
      </c>
      <c r="B47" s="35">
        <f>IF(A47="","",COUNTIF(tHosts[Cluster],A47))</f>
        <v/>
      </c>
      <c r="C47" s="35">
        <f>IF(A47="","",SUMIF(tHosts[Cluster],A47,tHosts[CPUs]))</f>
        <v/>
      </c>
      <c r="D47" s="36">
        <f>IF(A47="","",IFERROR(AVERAGEIF(tHosts[Cluster],A47,tHosts[Consumed CPU %])/100,0))</f>
        <v/>
      </c>
      <c r="E47" s="36">
        <f>IF(A47="","",IFERROR(1-D47,0))</f>
        <v/>
      </c>
      <c r="F47" s="37">
        <f>IF(A47="","",IF(E47&lt;0.2,"🔴 Critique (&lt;20%)",IF(E47&lt;0.3,"⚠️ Warning (&lt;30%)","✅ OK (≥30%)")))</f>
        <v/>
      </c>
      <c r="G47" s="35">
        <f>IF(A47="","",ROUND(SUMPRODUCT((tHosts[Cluster]=A47)*tHosts[CPUs]*(100-tHosts[Consumed CPU %])/100),0))</f>
        <v/>
      </c>
      <c r="H47" s="35">
        <f>IF(A47="","",ROUND(SUMIF(tHosts[Cluster],A47,tHosts[Memory Size (MB)])/1024,0))</f>
        <v/>
      </c>
      <c r="I47" s="35">
        <f>IF(A47="","",ROUND(SUMPRODUCT((tHosts[Cluster]=A47)*tHosts[Memory Size (MB)]*tHosts[Consumed Memory %]/100)/1024,0))</f>
        <v/>
      </c>
      <c r="J47" s="36">
        <f>IF(A47="","",IFERROR(1-I47/H47,0))</f>
        <v/>
      </c>
      <c r="K47" s="37">
        <f>IF(A47="","",IF(J47&lt;0.2,"🔴 Critique (&lt;20%)",IF(J47&lt;0.3,"⚠️ Warning (&lt;30%)","✅ OK (≥30%)")))</f>
        <v/>
      </c>
      <c r="L47" s="35">
        <f>IF(A47="","",COUNTIF(tVMs[Cluster],A47))</f>
        <v/>
      </c>
      <c r="M47" s="35">
        <f>IF(A47="","",SUMIF(tVMs[Cluster],A47,tVMs[Provisioned Space]))</f>
        <v/>
      </c>
      <c r="N47" s="35">
        <f>IF(A47="","",SUMIF(tVMs[Cluster],A47,tVMs[Used Space]))</f>
        <v/>
      </c>
      <c r="O47" s="37">
        <f>IF(A47="","",IF(E47&lt;0.2,"🔴 CPU critique",IF(J47&lt;0.2,"🔴 RAM critique",IF(E47&lt;0.3,"⚠️ CPU warning",IF(J47&lt;0.3,"⚠️ RAM warning","✅ OK")))))</f>
        <v/>
      </c>
    </row>
    <row r="48" ht="19" customHeight="1">
      <c r="A48" s="30">
        <f>IFERROR(INDEX(tHosts[Cluster],MATCH(0,COUNTIF($A$12:$A$47,tHosts[Cluster]),0)),"")</f>
        <v/>
      </c>
      <c r="B48" s="31">
        <f>IF(A48="","",COUNTIF(tHosts[Cluster],A48))</f>
        <v/>
      </c>
      <c r="C48" s="31">
        <f>IF(A48="","",SUMIF(tHosts[Cluster],A48,tHosts[CPUs]))</f>
        <v/>
      </c>
      <c r="D48" s="32">
        <f>IF(A48="","",IFERROR(AVERAGEIF(tHosts[Cluster],A48,tHosts[Consumed CPU %])/100,0))</f>
        <v/>
      </c>
      <c r="E48" s="32">
        <f>IF(A48="","",IFERROR(1-D48,0))</f>
        <v/>
      </c>
      <c r="F48" s="33">
        <f>IF(A48="","",IF(E48&lt;0.2,"🔴 Critique (&lt;20%)",IF(E48&lt;0.3,"⚠️ Warning (&lt;30%)","✅ OK (≥30%)")))</f>
        <v/>
      </c>
      <c r="G48" s="31">
        <f>IF(A48="","",ROUND(SUMPRODUCT((tHosts[Cluster]=A48)*tHosts[CPUs]*(100-tHosts[Consumed CPU %])/100),0))</f>
        <v/>
      </c>
      <c r="H48" s="31">
        <f>IF(A48="","",ROUND(SUMIF(tHosts[Cluster],A48,tHosts[Memory Size (MB)])/1024,0))</f>
        <v/>
      </c>
      <c r="I48" s="31">
        <f>IF(A48="","",ROUND(SUMPRODUCT((tHosts[Cluster]=A48)*tHosts[Memory Size (MB)]*tHosts[Consumed Memory %]/100)/1024,0))</f>
        <v/>
      </c>
      <c r="J48" s="32">
        <f>IF(A48="","",IFERROR(1-I48/H48,0))</f>
        <v/>
      </c>
      <c r="K48" s="33">
        <f>IF(A48="","",IF(J48&lt;0.2,"🔴 Critique (&lt;20%)",IF(J48&lt;0.3,"⚠️ Warning (&lt;30%)","✅ OK (≥30%)")))</f>
        <v/>
      </c>
      <c r="L48" s="31">
        <f>IF(A48="","",COUNTIF(tVMs[Cluster],A48))</f>
        <v/>
      </c>
      <c r="M48" s="31">
        <f>IF(A48="","",SUMIF(tVMs[Cluster],A48,tVMs[Provisioned Space]))</f>
        <v/>
      </c>
      <c r="N48" s="31">
        <f>IF(A48="","",SUMIF(tVMs[Cluster],A48,tVMs[Used Space]))</f>
        <v/>
      </c>
      <c r="O48" s="33">
        <f>IF(A48="","",IF(E48&lt;0.2,"🔴 CPU critique",IF(J48&lt;0.2,"🔴 RAM critique",IF(E48&lt;0.3,"⚠️ CPU warning",IF(J48&lt;0.3,"⚠️ RAM warning","✅ OK")))))</f>
        <v/>
      </c>
    </row>
    <row r="49" ht="19" customHeight="1">
      <c r="A49" s="34">
        <f>IFERROR(INDEX(tHosts[Cluster],MATCH(0,COUNTIF($A$12:$A$48,tHosts[Cluster]),0)),"")</f>
        <v/>
      </c>
      <c r="B49" s="35">
        <f>IF(A49="","",COUNTIF(tHosts[Cluster],A49))</f>
        <v/>
      </c>
      <c r="C49" s="35">
        <f>IF(A49="","",SUMIF(tHosts[Cluster],A49,tHosts[CPUs]))</f>
        <v/>
      </c>
      <c r="D49" s="36">
        <f>IF(A49="","",IFERROR(AVERAGEIF(tHosts[Cluster],A49,tHosts[Consumed CPU %])/100,0))</f>
        <v/>
      </c>
      <c r="E49" s="36">
        <f>IF(A49="","",IFERROR(1-D49,0))</f>
        <v/>
      </c>
      <c r="F49" s="37">
        <f>IF(A49="","",IF(E49&lt;0.2,"🔴 Critique (&lt;20%)",IF(E49&lt;0.3,"⚠️ Warning (&lt;30%)","✅ OK (≥30%)")))</f>
        <v/>
      </c>
      <c r="G49" s="35">
        <f>IF(A49="","",ROUND(SUMPRODUCT((tHosts[Cluster]=A49)*tHosts[CPUs]*(100-tHosts[Consumed CPU %])/100),0))</f>
        <v/>
      </c>
      <c r="H49" s="35">
        <f>IF(A49="","",ROUND(SUMIF(tHosts[Cluster],A49,tHosts[Memory Size (MB)])/1024,0))</f>
        <v/>
      </c>
      <c r="I49" s="35">
        <f>IF(A49="","",ROUND(SUMPRODUCT((tHosts[Cluster]=A49)*tHosts[Memory Size (MB)]*tHosts[Consumed Memory %]/100)/1024,0))</f>
        <v/>
      </c>
      <c r="J49" s="36">
        <f>IF(A49="","",IFERROR(1-I49/H49,0))</f>
        <v/>
      </c>
      <c r="K49" s="37">
        <f>IF(A49="","",IF(J49&lt;0.2,"🔴 Critique (&lt;20%)",IF(J49&lt;0.3,"⚠️ Warning (&lt;30%)","✅ OK (≥30%)")))</f>
        <v/>
      </c>
      <c r="L49" s="35">
        <f>IF(A49="","",COUNTIF(tVMs[Cluster],A49))</f>
        <v/>
      </c>
      <c r="M49" s="35">
        <f>IF(A49="","",SUMIF(tVMs[Cluster],A49,tVMs[Provisioned Space]))</f>
        <v/>
      </c>
      <c r="N49" s="35">
        <f>IF(A49="","",SUMIF(tVMs[Cluster],A49,tVMs[Used Space]))</f>
        <v/>
      </c>
      <c r="O49" s="37">
        <f>IF(A49="","",IF(E49&lt;0.2,"🔴 CPU critique",IF(J49&lt;0.2,"🔴 RAM critique",IF(E49&lt;0.3,"⚠️ CPU warning",IF(J49&lt;0.3,"⚠️ RAM warning","✅ OK")))))</f>
        <v/>
      </c>
    </row>
    <row r="50" ht="19" customHeight="1">
      <c r="A50" s="30">
        <f>IFERROR(INDEX(tHosts[Cluster],MATCH(0,COUNTIF($A$12:$A$49,tHosts[Cluster]),0)),"")</f>
        <v/>
      </c>
      <c r="B50" s="31">
        <f>IF(A50="","",COUNTIF(tHosts[Cluster],A50))</f>
        <v/>
      </c>
      <c r="C50" s="31">
        <f>IF(A50="","",SUMIF(tHosts[Cluster],A50,tHosts[CPUs]))</f>
        <v/>
      </c>
      <c r="D50" s="32">
        <f>IF(A50="","",IFERROR(AVERAGEIF(tHosts[Cluster],A50,tHosts[Consumed CPU %])/100,0))</f>
        <v/>
      </c>
      <c r="E50" s="32">
        <f>IF(A50="","",IFERROR(1-D50,0))</f>
        <v/>
      </c>
      <c r="F50" s="33">
        <f>IF(A50="","",IF(E50&lt;0.2,"🔴 Critique (&lt;20%)",IF(E50&lt;0.3,"⚠️ Warning (&lt;30%)","✅ OK (≥30%)")))</f>
        <v/>
      </c>
      <c r="G50" s="31">
        <f>IF(A50="","",ROUND(SUMPRODUCT((tHosts[Cluster]=A50)*tHosts[CPUs]*(100-tHosts[Consumed CPU %])/100),0))</f>
        <v/>
      </c>
      <c r="H50" s="31">
        <f>IF(A50="","",ROUND(SUMIF(tHosts[Cluster],A50,tHosts[Memory Size (MB)])/1024,0))</f>
        <v/>
      </c>
      <c r="I50" s="31">
        <f>IF(A50="","",ROUND(SUMPRODUCT((tHosts[Cluster]=A50)*tHosts[Memory Size (MB)]*tHosts[Consumed Memory %]/100)/1024,0))</f>
        <v/>
      </c>
      <c r="J50" s="32">
        <f>IF(A50="","",IFERROR(1-I50/H50,0))</f>
        <v/>
      </c>
      <c r="K50" s="33">
        <f>IF(A50="","",IF(J50&lt;0.2,"🔴 Critique (&lt;20%)",IF(J50&lt;0.3,"⚠️ Warning (&lt;30%)","✅ OK (≥30%)")))</f>
        <v/>
      </c>
      <c r="L50" s="31">
        <f>IF(A50="","",COUNTIF(tVMs[Cluster],A50))</f>
        <v/>
      </c>
      <c r="M50" s="31">
        <f>IF(A50="","",SUMIF(tVMs[Cluster],A50,tVMs[Provisioned Space]))</f>
        <v/>
      </c>
      <c r="N50" s="31">
        <f>IF(A50="","",SUMIF(tVMs[Cluster],A50,tVMs[Used Space]))</f>
        <v/>
      </c>
      <c r="O50" s="33">
        <f>IF(A50="","",IF(E50&lt;0.2,"🔴 CPU critique",IF(J50&lt;0.2,"🔴 RAM critique",IF(E50&lt;0.3,"⚠️ CPU warning",IF(J50&lt;0.3,"⚠️ RAM warning","✅ OK")))))</f>
        <v/>
      </c>
    </row>
    <row r="51" ht="19" customHeight="1">
      <c r="A51" s="34">
        <f>IFERROR(INDEX(tHosts[Cluster],MATCH(0,COUNTIF($A$12:$A$50,tHosts[Cluster]),0)),"")</f>
        <v/>
      </c>
      <c r="B51" s="35">
        <f>IF(A51="","",COUNTIF(tHosts[Cluster],A51))</f>
        <v/>
      </c>
      <c r="C51" s="35">
        <f>IF(A51="","",SUMIF(tHosts[Cluster],A51,tHosts[CPUs]))</f>
        <v/>
      </c>
      <c r="D51" s="36">
        <f>IF(A51="","",IFERROR(AVERAGEIF(tHosts[Cluster],A51,tHosts[Consumed CPU %])/100,0))</f>
        <v/>
      </c>
      <c r="E51" s="36">
        <f>IF(A51="","",IFERROR(1-D51,0))</f>
        <v/>
      </c>
      <c r="F51" s="37">
        <f>IF(A51="","",IF(E51&lt;0.2,"🔴 Critique (&lt;20%)",IF(E51&lt;0.3,"⚠️ Warning (&lt;30%)","✅ OK (≥30%)")))</f>
        <v/>
      </c>
      <c r="G51" s="35">
        <f>IF(A51="","",ROUND(SUMPRODUCT((tHosts[Cluster]=A51)*tHosts[CPUs]*(100-tHosts[Consumed CPU %])/100),0))</f>
        <v/>
      </c>
      <c r="H51" s="35">
        <f>IF(A51="","",ROUND(SUMIF(tHosts[Cluster],A51,tHosts[Memory Size (MB)])/1024,0))</f>
        <v/>
      </c>
      <c r="I51" s="35">
        <f>IF(A51="","",ROUND(SUMPRODUCT((tHosts[Cluster]=A51)*tHosts[Memory Size (MB)]*tHosts[Consumed Memory %]/100)/1024,0))</f>
        <v/>
      </c>
      <c r="J51" s="36">
        <f>IF(A51="","",IFERROR(1-I51/H51,0))</f>
        <v/>
      </c>
      <c r="K51" s="37">
        <f>IF(A51="","",IF(J51&lt;0.2,"🔴 Critique (&lt;20%)",IF(J51&lt;0.3,"⚠️ Warning (&lt;30%)","✅ OK (≥30%)")))</f>
        <v/>
      </c>
      <c r="L51" s="35">
        <f>IF(A51="","",COUNTIF(tVMs[Cluster],A51))</f>
        <v/>
      </c>
      <c r="M51" s="35">
        <f>IF(A51="","",SUMIF(tVMs[Cluster],A51,tVMs[Provisioned Space]))</f>
        <v/>
      </c>
      <c r="N51" s="35">
        <f>IF(A51="","",SUMIF(tVMs[Cluster],A51,tVMs[Used Space]))</f>
        <v/>
      </c>
      <c r="O51" s="37">
        <f>IF(A51="","",IF(E51&lt;0.2,"🔴 CPU critique",IF(J51&lt;0.2,"🔴 RAM critique",IF(E51&lt;0.3,"⚠️ CPU warning",IF(J51&lt;0.3,"⚠️ RAM warning","✅ OK")))))</f>
        <v/>
      </c>
    </row>
    <row r="52" ht="19" customHeight="1">
      <c r="A52" s="30">
        <f>IFERROR(INDEX(tHosts[Cluster],MATCH(0,COUNTIF($A$12:$A$51,tHosts[Cluster]),0)),"")</f>
        <v/>
      </c>
      <c r="B52" s="31">
        <f>IF(A52="","",COUNTIF(tHosts[Cluster],A52))</f>
        <v/>
      </c>
      <c r="C52" s="31">
        <f>IF(A52="","",SUMIF(tHosts[Cluster],A52,tHosts[CPUs]))</f>
        <v/>
      </c>
      <c r="D52" s="32">
        <f>IF(A52="","",IFERROR(AVERAGEIF(tHosts[Cluster],A52,tHosts[Consumed CPU %])/100,0))</f>
        <v/>
      </c>
      <c r="E52" s="32">
        <f>IF(A52="","",IFERROR(1-D52,0))</f>
        <v/>
      </c>
      <c r="F52" s="33">
        <f>IF(A52="","",IF(E52&lt;0.2,"🔴 Critique (&lt;20%)",IF(E52&lt;0.3,"⚠️ Warning (&lt;30%)","✅ OK (≥30%)")))</f>
        <v/>
      </c>
      <c r="G52" s="31">
        <f>IF(A52="","",ROUND(SUMPRODUCT((tHosts[Cluster]=A52)*tHosts[CPUs]*(100-tHosts[Consumed CPU %])/100),0))</f>
        <v/>
      </c>
      <c r="H52" s="31">
        <f>IF(A52="","",ROUND(SUMIF(tHosts[Cluster],A52,tHosts[Memory Size (MB)])/1024,0))</f>
        <v/>
      </c>
      <c r="I52" s="31">
        <f>IF(A52="","",ROUND(SUMPRODUCT((tHosts[Cluster]=A52)*tHosts[Memory Size (MB)]*tHosts[Consumed Memory %]/100)/1024,0))</f>
        <v/>
      </c>
      <c r="J52" s="32">
        <f>IF(A52="","",IFERROR(1-I52/H52,0))</f>
        <v/>
      </c>
      <c r="K52" s="33">
        <f>IF(A52="","",IF(J52&lt;0.2,"🔴 Critique (&lt;20%)",IF(J52&lt;0.3,"⚠️ Warning (&lt;30%)","✅ OK (≥30%)")))</f>
        <v/>
      </c>
      <c r="L52" s="31">
        <f>IF(A52="","",COUNTIF(tVMs[Cluster],A52))</f>
        <v/>
      </c>
      <c r="M52" s="31">
        <f>IF(A52="","",SUMIF(tVMs[Cluster],A52,tVMs[Provisioned Space]))</f>
        <v/>
      </c>
      <c r="N52" s="31">
        <f>IF(A52="","",SUMIF(tVMs[Cluster],A52,tVMs[Used Space]))</f>
        <v/>
      </c>
      <c r="O52" s="33">
        <f>IF(A52="","",IF(E52&lt;0.2,"🔴 CPU critique",IF(J52&lt;0.2,"🔴 RAM critique",IF(E52&lt;0.3,"⚠️ CPU warning",IF(J52&lt;0.3,"⚠️ RAM warning","✅ OK")))))</f>
        <v/>
      </c>
    </row>
    <row r="53" ht="19" customHeight="1">
      <c r="A53" s="34">
        <f>IFERROR(INDEX(tHosts[Cluster],MATCH(0,COUNTIF($A$12:$A$52,tHosts[Cluster]),0)),"")</f>
        <v/>
      </c>
      <c r="B53" s="35">
        <f>IF(A53="","",COUNTIF(tHosts[Cluster],A53))</f>
        <v/>
      </c>
      <c r="C53" s="35">
        <f>IF(A53="","",SUMIF(tHosts[Cluster],A53,tHosts[CPUs]))</f>
        <v/>
      </c>
      <c r="D53" s="36">
        <f>IF(A53="","",IFERROR(AVERAGEIF(tHosts[Cluster],A53,tHosts[Consumed CPU %])/100,0))</f>
        <v/>
      </c>
      <c r="E53" s="36">
        <f>IF(A53="","",IFERROR(1-D53,0))</f>
        <v/>
      </c>
      <c r="F53" s="37">
        <f>IF(A53="","",IF(E53&lt;0.2,"🔴 Critique (&lt;20%)",IF(E53&lt;0.3,"⚠️ Warning (&lt;30%)","✅ OK (≥30%)")))</f>
        <v/>
      </c>
      <c r="G53" s="35">
        <f>IF(A53="","",ROUND(SUMPRODUCT((tHosts[Cluster]=A53)*tHosts[CPUs]*(100-tHosts[Consumed CPU %])/100),0))</f>
        <v/>
      </c>
      <c r="H53" s="35">
        <f>IF(A53="","",ROUND(SUMIF(tHosts[Cluster],A53,tHosts[Memory Size (MB)])/1024,0))</f>
        <v/>
      </c>
      <c r="I53" s="35">
        <f>IF(A53="","",ROUND(SUMPRODUCT((tHosts[Cluster]=A53)*tHosts[Memory Size (MB)]*tHosts[Consumed Memory %]/100)/1024,0))</f>
        <v/>
      </c>
      <c r="J53" s="36">
        <f>IF(A53="","",IFERROR(1-I53/H53,0))</f>
        <v/>
      </c>
      <c r="K53" s="37">
        <f>IF(A53="","",IF(J53&lt;0.2,"🔴 Critique (&lt;20%)",IF(J53&lt;0.3,"⚠️ Warning (&lt;30%)","✅ OK (≥30%)")))</f>
        <v/>
      </c>
      <c r="L53" s="35">
        <f>IF(A53="","",COUNTIF(tVMs[Cluster],A53))</f>
        <v/>
      </c>
      <c r="M53" s="35">
        <f>IF(A53="","",SUMIF(tVMs[Cluster],A53,tVMs[Provisioned Space]))</f>
        <v/>
      </c>
      <c r="N53" s="35">
        <f>IF(A53="","",SUMIF(tVMs[Cluster],A53,tVMs[Used Space]))</f>
        <v/>
      </c>
      <c r="O53" s="37">
        <f>IF(A53="","",IF(E53&lt;0.2,"🔴 CPU critique",IF(J53&lt;0.2,"🔴 RAM critique",IF(E53&lt;0.3,"⚠️ CPU warning",IF(J53&lt;0.3,"⚠️ RAM warning","✅ OK")))))</f>
        <v/>
      </c>
    </row>
    <row r="54" ht="19" customHeight="1">
      <c r="A54" s="30">
        <f>IFERROR(INDEX(tHosts[Cluster],MATCH(0,COUNTIF($A$12:$A$53,tHosts[Cluster]),0)),"")</f>
        <v/>
      </c>
      <c r="B54" s="31">
        <f>IF(A54="","",COUNTIF(tHosts[Cluster],A54))</f>
        <v/>
      </c>
      <c r="C54" s="31">
        <f>IF(A54="","",SUMIF(tHosts[Cluster],A54,tHosts[CPUs]))</f>
        <v/>
      </c>
      <c r="D54" s="32">
        <f>IF(A54="","",IFERROR(AVERAGEIF(tHosts[Cluster],A54,tHosts[Consumed CPU %])/100,0))</f>
        <v/>
      </c>
      <c r="E54" s="32">
        <f>IF(A54="","",IFERROR(1-D54,0))</f>
        <v/>
      </c>
      <c r="F54" s="33">
        <f>IF(A54="","",IF(E54&lt;0.2,"🔴 Critique (&lt;20%)",IF(E54&lt;0.3,"⚠️ Warning (&lt;30%)","✅ OK (≥30%)")))</f>
        <v/>
      </c>
      <c r="G54" s="31">
        <f>IF(A54="","",ROUND(SUMPRODUCT((tHosts[Cluster]=A54)*tHosts[CPUs]*(100-tHosts[Consumed CPU %])/100),0))</f>
        <v/>
      </c>
      <c r="H54" s="31">
        <f>IF(A54="","",ROUND(SUMIF(tHosts[Cluster],A54,tHosts[Memory Size (MB)])/1024,0))</f>
        <v/>
      </c>
      <c r="I54" s="31">
        <f>IF(A54="","",ROUND(SUMPRODUCT((tHosts[Cluster]=A54)*tHosts[Memory Size (MB)]*tHosts[Consumed Memory %]/100)/1024,0))</f>
        <v/>
      </c>
      <c r="J54" s="32">
        <f>IF(A54="","",IFERROR(1-I54/H54,0))</f>
        <v/>
      </c>
      <c r="K54" s="33">
        <f>IF(A54="","",IF(J54&lt;0.2,"🔴 Critique (&lt;20%)",IF(J54&lt;0.3,"⚠️ Warning (&lt;30%)","✅ OK (≥30%)")))</f>
        <v/>
      </c>
      <c r="L54" s="31">
        <f>IF(A54="","",COUNTIF(tVMs[Cluster],A54))</f>
        <v/>
      </c>
      <c r="M54" s="31">
        <f>IF(A54="","",SUMIF(tVMs[Cluster],A54,tVMs[Provisioned Space]))</f>
        <v/>
      </c>
      <c r="N54" s="31">
        <f>IF(A54="","",SUMIF(tVMs[Cluster],A54,tVMs[Used Space]))</f>
        <v/>
      </c>
      <c r="O54" s="33">
        <f>IF(A54="","",IF(E54&lt;0.2,"🔴 CPU critique",IF(J54&lt;0.2,"🔴 RAM critique",IF(E54&lt;0.3,"⚠️ CPU warning",IF(J54&lt;0.3,"⚠️ RAM warning","✅ OK")))))</f>
        <v/>
      </c>
    </row>
    <row r="55" ht="19" customHeight="1">
      <c r="A55" s="34">
        <f>IFERROR(INDEX(tHosts[Cluster],MATCH(0,COUNTIF($A$12:$A$54,tHosts[Cluster]),0)),"")</f>
        <v/>
      </c>
      <c r="B55" s="35">
        <f>IF(A55="","",COUNTIF(tHosts[Cluster],A55))</f>
        <v/>
      </c>
      <c r="C55" s="35">
        <f>IF(A55="","",SUMIF(tHosts[Cluster],A55,tHosts[CPUs]))</f>
        <v/>
      </c>
      <c r="D55" s="36">
        <f>IF(A55="","",IFERROR(AVERAGEIF(tHosts[Cluster],A55,tHosts[Consumed CPU %])/100,0))</f>
        <v/>
      </c>
      <c r="E55" s="36">
        <f>IF(A55="","",IFERROR(1-D55,0))</f>
        <v/>
      </c>
      <c r="F55" s="37">
        <f>IF(A55="","",IF(E55&lt;0.2,"🔴 Critique (&lt;20%)",IF(E55&lt;0.3,"⚠️ Warning (&lt;30%)","✅ OK (≥30%)")))</f>
        <v/>
      </c>
      <c r="G55" s="35">
        <f>IF(A55="","",ROUND(SUMPRODUCT((tHosts[Cluster]=A55)*tHosts[CPUs]*(100-tHosts[Consumed CPU %])/100),0))</f>
        <v/>
      </c>
      <c r="H55" s="35">
        <f>IF(A55="","",ROUND(SUMIF(tHosts[Cluster],A55,tHosts[Memory Size (MB)])/1024,0))</f>
        <v/>
      </c>
      <c r="I55" s="35">
        <f>IF(A55="","",ROUND(SUMPRODUCT((tHosts[Cluster]=A55)*tHosts[Memory Size (MB)]*tHosts[Consumed Memory %]/100)/1024,0))</f>
        <v/>
      </c>
      <c r="J55" s="36">
        <f>IF(A55="","",IFERROR(1-I55/H55,0))</f>
        <v/>
      </c>
      <c r="K55" s="37">
        <f>IF(A55="","",IF(J55&lt;0.2,"🔴 Critique (&lt;20%)",IF(J55&lt;0.3,"⚠️ Warning (&lt;30%)","✅ OK (≥30%)")))</f>
        <v/>
      </c>
      <c r="L55" s="35">
        <f>IF(A55="","",COUNTIF(tVMs[Cluster],A55))</f>
        <v/>
      </c>
      <c r="M55" s="35">
        <f>IF(A55="","",SUMIF(tVMs[Cluster],A55,tVMs[Provisioned Space]))</f>
        <v/>
      </c>
      <c r="N55" s="35">
        <f>IF(A55="","",SUMIF(tVMs[Cluster],A55,tVMs[Used Space]))</f>
        <v/>
      </c>
      <c r="O55" s="37">
        <f>IF(A55="","",IF(E55&lt;0.2,"🔴 CPU critique",IF(J55&lt;0.2,"🔴 RAM critique",IF(E55&lt;0.3,"⚠️ CPU warning",IF(J55&lt;0.3,"⚠️ RAM warning","✅ OK")))))</f>
        <v/>
      </c>
    </row>
    <row r="56" ht="19" customHeight="1">
      <c r="A56" s="30">
        <f>IFERROR(INDEX(tHosts[Cluster],MATCH(0,COUNTIF($A$12:$A$55,tHosts[Cluster]),0)),"")</f>
        <v/>
      </c>
      <c r="B56" s="31">
        <f>IF(A56="","",COUNTIF(tHosts[Cluster],A56))</f>
        <v/>
      </c>
      <c r="C56" s="31">
        <f>IF(A56="","",SUMIF(tHosts[Cluster],A56,tHosts[CPUs]))</f>
        <v/>
      </c>
      <c r="D56" s="32">
        <f>IF(A56="","",IFERROR(AVERAGEIF(tHosts[Cluster],A56,tHosts[Consumed CPU %])/100,0))</f>
        <v/>
      </c>
      <c r="E56" s="32">
        <f>IF(A56="","",IFERROR(1-D56,0))</f>
        <v/>
      </c>
      <c r="F56" s="33">
        <f>IF(A56="","",IF(E56&lt;0.2,"🔴 Critique (&lt;20%)",IF(E56&lt;0.3,"⚠️ Warning (&lt;30%)","✅ OK (≥30%)")))</f>
        <v/>
      </c>
      <c r="G56" s="31">
        <f>IF(A56="","",ROUND(SUMPRODUCT((tHosts[Cluster]=A56)*tHosts[CPUs]*(100-tHosts[Consumed CPU %])/100),0))</f>
        <v/>
      </c>
      <c r="H56" s="31">
        <f>IF(A56="","",ROUND(SUMIF(tHosts[Cluster],A56,tHosts[Memory Size (MB)])/1024,0))</f>
        <v/>
      </c>
      <c r="I56" s="31">
        <f>IF(A56="","",ROUND(SUMPRODUCT((tHosts[Cluster]=A56)*tHosts[Memory Size (MB)]*tHosts[Consumed Memory %]/100)/1024,0))</f>
        <v/>
      </c>
      <c r="J56" s="32">
        <f>IF(A56="","",IFERROR(1-I56/H56,0))</f>
        <v/>
      </c>
      <c r="K56" s="33">
        <f>IF(A56="","",IF(J56&lt;0.2,"🔴 Critique (&lt;20%)",IF(J56&lt;0.3,"⚠️ Warning (&lt;30%)","✅ OK (≥30%)")))</f>
        <v/>
      </c>
      <c r="L56" s="31">
        <f>IF(A56="","",COUNTIF(tVMs[Cluster],A56))</f>
        <v/>
      </c>
      <c r="M56" s="31">
        <f>IF(A56="","",SUMIF(tVMs[Cluster],A56,tVMs[Provisioned Space]))</f>
        <v/>
      </c>
      <c r="N56" s="31">
        <f>IF(A56="","",SUMIF(tVMs[Cluster],A56,tVMs[Used Space]))</f>
        <v/>
      </c>
      <c r="O56" s="33">
        <f>IF(A56="","",IF(E56&lt;0.2,"🔴 CPU critique",IF(J56&lt;0.2,"🔴 RAM critique",IF(E56&lt;0.3,"⚠️ CPU warning",IF(J56&lt;0.3,"⚠️ RAM warning","✅ OK")))))</f>
        <v/>
      </c>
    </row>
    <row r="57" ht="19" customHeight="1">
      <c r="A57" s="34">
        <f>IFERROR(INDEX(tHosts[Cluster],MATCH(0,COUNTIF($A$12:$A$56,tHosts[Cluster]),0)),"")</f>
        <v/>
      </c>
      <c r="B57" s="35">
        <f>IF(A57="","",COUNTIF(tHosts[Cluster],A57))</f>
        <v/>
      </c>
      <c r="C57" s="35">
        <f>IF(A57="","",SUMIF(tHosts[Cluster],A57,tHosts[CPUs]))</f>
        <v/>
      </c>
      <c r="D57" s="36">
        <f>IF(A57="","",IFERROR(AVERAGEIF(tHosts[Cluster],A57,tHosts[Consumed CPU %])/100,0))</f>
        <v/>
      </c>
      <c r="E57" s="36">
        <f>IF(A57="","",IFERROR(1-D57,0))</f>
        <v/>
      </c>
      <c r="F57" s="37">
        <f>IF(A57="","",IF(E57&lt;0.2,"🔴 Critique (&lt;20%)",IF(E57&lt;0.3,"⚠️ Warning (&lt;30%)","✅ OK (≥30%)")))</f>
        <v/>
      </c>
      <c r="G57" s="35">
        <f>IF(A57="","",ROUND(SUMPRODUCT((tHosts[Cluster]=A57)*tHosts[CPUs]*(100-tHosts[Consumed CPU %])/100),0))</f>
        <v/>
      </c>
      <c r="H57" s="35">
        <f>IF(A57="","",ROUND(SUMIF(tHosts[Cluster],A57,tHosts[Memory Size (MB)])/1024,0))</f>
        <v/>
      </c>
      <c r="I57" s="35">
        <f>IF(A57="","",ROUND(SUMPRODUCT((tHosts[Cluster]=A57)*tHosts[Memory Size (MB)]*tHosts[Consumed Memory %]/100)/1024,0))</f>
        <v/>
      </c>
      <c r="J57" s="36">
        <f>IF(A57="","",IFERROR(1-I57/H57,0))</f>
        <v/>
      </c>
      <c r="K57" s="37">
        <f>IF(A57="","",IF(J57&lt;0.2,"🔴 Critique (&lt;20%)",IF(J57&lt;0.3,"⚠️ Warning (&lt;30%)","✅ OK (≥30%)")))</f>
        <v/>
      </c>
      <c r="L57" s="35">
        <f>IF(A57="","",COUNTIF(tVMs[Cluster],A57))</f>
        <v/>
      </c>
      <c r="M57" s="35">
        <f>IF(A57="","",SUMIF(tVMs[Cluster],A57,tVMs[Provisioned Space]))</f>
        <v/>
      </c>
      <c r="N57" s="35">
        <f>IF(A57="","",SUMIF(tVMs[Cluster],A57,tVMs[Used Space]))</f>
        <v/>
      </c>
      <c r="O57" s="37">
        <f>IF(A57="","",IF(E57&lt;0.2,"🔴 CPU critique",IF(J57&lt;0.2,"🔴 RAM critique",IF(E57&lt;0.3,"⚠️ CPU warning",IF(J57&lt;0.3,"⚠️ RAM warning","✅ OK")))))</f>
        <v/>
      </c>
    </row>
    <row r="58" ht="19" customHeight="1">
      <c r="A58" s="30">
        <f>IFERROR(INDEX(tHosts[Cluster],MATCH(0,COUNTIF($A$12:$A$57,tHosts[Cluster]),0)),"")</f>
        <v/>
      </c>
      <c r="B58" s="31">
        <f>IF(A58="","",COUNTIF(tHosts[Cluster],A58))</f>
        <v/>
      </c>
      <c r="C58" s="31">
        <f>IF(A58="","",SUMIF(tHosts[Cluster],A58,tHosts[CPUs]))</f>
        <v/>
      </c>
      <c r="D58" s="32">
        <f>IF(A58="","",IFERROR(AVERAGEIF(tHosts[Cluster],A58,tHosts[Consumed CPU %])/100,0))</f>
        <v/>
      </c>
      <c r="E58" s="32">
        <f>IF(A58="","",IFERROR(1-D58,0))</f>
        <v/>
      </c>
      <c r="F58" s="33">
        <f>IF(A58="","",IF(E58&lt;0.2,"🔴 Critique (&lt;20%)",IF(E58&lt;0.3,"⚠️ Warning (&lt;30%)","✅ OK (≥30%)")))</f>
        <v/>
      </c>
      <c r="G58" s="31">
        <f>IF(A58="","",ROUND(SUMPRODUCT((tHosts[Cluster]=A58)*tHosts[CPUs]*(100-tHosts[Consumed CPU %])/100),0))</f>
        <v/>
      </c>
      <c r="H58" s="31">
        <f>IF(A58="","",ROUND(SUMIF(tHosts[Cluster],A58,tHosts[Memory Size (MB)])/1024,0))</f>
        <v/>
      </c>
      <c r="I58" s="31">
        <f>IF(A58="","",ROUND(SUMPRODUCT((tHosts[Cluster]=A58)*tHosts[Memory Size (MB)]*tHosts[Consumed Memory %]/100)/1024,0))</f>
        <v/>
      </c>
      <c r="J58" s="32">
        <f>IF(A58="","",IFERROR(1-I58/H58,0))</f>
        <v/>
      </c>
      <c r="K58" s="33">
        <f>IF(A58="","",IF(J58&lt;0.2,"🔴 Critique (&lt;20%)",IF(J58&lt;0.3,"⚠️ Warning (&lt;30%)","✅ OK (≥30%)")))</f>
        <v/>
      </c>
      <c r="L58" s="31">
        <f>IF(A58="","",COUNTIF(tVMs[Cluster],A58))</f>
        <v/>
      </c>
      <c r="M58" s="31">
        <f>IF(A58="","",SUMIF(tVMs[Cluster],A58,tVMs[Provisioned Space]))</f>
        <v/>
      </c>
      <c r="N58" s="31">
        <f>IF(A58="","",SUMIF(tVMs[Cluster],A58,tVMs[Used Space]))</f>
        <v/>
      </c>
      <c r="O58" s="33">
        <f>IF(A58="","",IF(E58&lt;0.2,"🔴 CPU critique",IF(J58&lt;0.2,"🔴 RAM critique",IF(E58&lt;0.3,"⚠️ CPU warning",IF(J58&lt;0.3,"⚠️ RAM warning","✅ OK")))))</f>
        <v/>
      </c>
    </row>
    <row r="59" ht="19" customHeight="1">
      <c r="A59" s="34">
        <f>IFERROR(INDEX(tHosts[Cluster],MATCH(0,COUNTIF($A$12:$A$58,tHosts[Cluster]),0)),"")</f>
        <v/>
      </c>
      <c r="B59" s="35">
        <f>IF(A59="","",COUNTIF(tHosts[Cluster],A59))</f>
        <v/>
      </c>
      <c r="C59" s="35">
        <f>IF(A59="","",SUMIF(tHosts[Cluster],A59,tHosts[CPUs]))</f>
        <v/>
      </c>
      <c r="D59" s="36">
        <f>IF(A59="","",IFERROR(AVERAGEIF(tHosts[Cluster],A59,tHosts[Consumed CPU %])/100,0))</f>
        <v/>
      </c>
      <c r="E59" s="36">
        <f>IF(A59="","",IFERROR(1-D59,0))</f>
        <v/>
      </c>
      <c r="F59" s="37">
        <f>IF(A59="","",IF(E59&lt;0.2,"🔴 Critique (&lt;20%)",IF(E59&lt;0.3,"⚠️ Warning (&lt;30%)","✅ OK (≥30%)")))</f>
        <v/>
      </c>
      <c r="G59" s="35">
        <f>IF(A59="","",ROUND(SUMPRODUCT((tHosts[Cluster]=A59)*tHosts[CPUs]*(100-tHosts[Consumed CPU %])/100),0))</f>
        <v/>
      </c>
      <c r="H59" s="35">
        <f>IF(A59="","",ROUND(SUMIF(tHosts[Cluster],A59,tHosts[Memory Size (MB)])/1024,0))</f>
        <v/>
      </c>
      <c r="I59" s="35">
        <f>IF(A59="","",ROUND(SUMPRODUCT((tHosts[Cluster]=A59)*tHosts[Memory Size (MB)]*tHosts[Consumed Memory %]/100)/1024,0))</f>
        <v/>
      </c>
      <c r="J59" s="36">
        <f>IF(A59="","",IFERROR(1-I59/H59,0))</f>
        <v/>
      </c>
      <c r="K59" s="37">
        <f>IF(A59="","",IF(J59&lt;0.2,"🔴 Critique (&lt;20%)",IF(J59&lt;0.3,"⚠️ Warning (&lt;30%)","✅ OK (≥30%)")))</f>
        <v/>
      </c>
      <c r="L59" s="35">
        <f>IF(A59="","",COUNTIF(tVMs[Cluster],A59))</f>
        <v/>
      </c>
      <c r="M59" s="35">
        <f>IF(A59="","",SUMIF(tVMs[Cluster],A59,tVMs[Provisioned Space]))</f>
        <v/>
      </c>
      <c r="N59" s="35">
        <f>IF(A59="","",SUMIF(tVMs[Cluster],A59,tVMs[Used Space]))</f>
        <v/>
      </c>
      <c r="O59" s="37">
        <f>IF(A59="","",IF(E59&lt;0.2,"🔴 CPU critique",IF(J59&lt;0.2,"🔴 RAM critique",IF(E59&lt;0.3,"⚠️ CPU warning",IF(J59&lt;0.3,"⚠️ RAM warning","✅ OK")))))</f>
        <v/>
      </c>
    </row>
    <row r="60" ht="19" customHeight="1">
      <c r="A60" s="30">
        <f>IFERROR(INDEX(tHosts[Cluster],MATCH(0,COUNTIF($A$12:$A$59,tHosts[Cluster]),0)),"")</f>
        <v/>
      </c>
      <c r="B60" s="31">
        <f>IF(A60="","",COUNTIF(tHosts[Cluster],A60))</f>
        <v/>
      </c>
      <c r="C60" s="31">
        <f>IF(A60="","",SUMIF(tHosts[Cluster],A60,tHosts[CPUs]))</f>
        <v/>
      </c>
      <c r="D60" s="32">
        <f>IF(A60="","",IFERROR(AVERAGEIF(tHosts[Cluster],A60,tHosts[Consumed CPU %])/100,0))</f>
        <v/>
      </c>
      <c r="E60" s="32">
        <f>IF(A60="","",IFERROR(1-D60,0))</f>
        <v/>
      </c>
      <c r="F60" s="33">
        <f>IF(A60="","",IF(E60&lt;0.2,"🔴 Critique (&lt;20%)",IF(E60&lt;0.3,"⚠️ Warning (&lt;30%)","✅ OK (≥30%)")))</f>
        <v/>
      </c>
      <c r="G60" s="31">
        <f>IF(A60="","",ROUND(SUMPRODUCT((tHosts[Cluster]=A60)*tHosts[CPUs]*(100-tHosts[Consumed CPU %])/100),0))</f>
        <v/>
      </c>
      <c r="H60" s="31">
        <f>IF(A60="","",ROUND(SUMIF(tHosts[Cluster],A60,tHosts[Memory Size (MB)])/1024,0))</f>
        <v/>
      </c>
      <c r="I60" s="31">
        <f>IF(A60="","",ROUND(SUMPRODUCT((tHosts[Cluster]=A60)*tHosts[Memory Size (MB)]*tHosts[Consumed Memory %]/100)/1024,0))</f>
        <v/>
      </c>
      <c r="J60" s="32">
        <f>IF(A60="","",IFERROR(1-I60/H60,0))</f>
        <v/>
      </c>
      <c r="K60" s="33">
        <f>IF(A60="","",IF(J60&lt;0.2,"🔴 Critique (&lt;20%)",IF(J60&lt;0.3,"⚠️ Warning (&lt;30%)","✅ OK (≥30%)")))</f>
        <v/>
      </c>
      <c r="L60" s="31">
        <f>IF(A60="","",COUNTIF(tVMs[Cluster],A60))</f>
        <v/>
      </c>
      <c r="M60" s="31">
        <f>IF(A60="","",SUMIF(tVMs[Cluster],A60,tVMs[Provisioned Space]))</f>
        <v/>
      </c>
      <c r="N60" s="31">
        <f>IF(A60="","",SUMIF(tVMs[Cluster],A60,tVMs[Used Space]))</f>
        <v/>
      </c>
      <c r="O60" s="33">
        <f>IF(A60="","",IF(E60&lt;0.2,"🔴 CPU critique",IF(J60&lt;0.2,"🔴 RAM critique",IF(E60&lt;0.3,"⚠️ CPU warning",IF(J60&lt;0.3,"⚠️ RAM warning","✅ OK")))))</f>
        <v/>
      </c>
    </row>
    <row r="61" ht="19" customHeight="1">
      <c r="A61" s="34">
        <f>IFERROR(INDEX(tHosts[Cluster],MATCH(0,COUNTIF($A$12:$A$60,tHosts[Cluster]),0)),"")</f>
        <v/>
      </c>
      <c r="B61" s="35">
        <f>IF(A61="","",COUNTIF(tHosts[Cluster],A61))</f>
        <v/>
      </c>
      <c r="C61" s="35">
        <f>IF(A61="","",SUMIF(tHosts[Cluster],A61,tHosts[CPUs]))</f>
        <v/>
      </c>
      <c r="D61" s="36">
        <f>IF(A61="","",IFERROR(AVERAGEIF(tHosts[Cluster],A61,tHosts[Consumed CPU %])/100,0))</f>
        <v/>
      </c>
      <c r="E61" s="36">
        <f>IF(A61="","",IFERROR(1-D61,0))</f>
        <v/>
      </c>
      <c r="F61" s="37">
        <f>IF(A61="","",IF(E61&lt;0.2,"🔴 Critique (&lt;20%)",IF(E61&lt;0.3,"⚠️ Warning (&lt;30%)","✅ OK (≥30%)")))</f>
        <v/>
      </c>
      <c r="G61" s="35">
        <f>IF(A61="","",ROUND(SUMPRODUCT((tHosts[Cluster]=A61)*tHosts[CPUs]*(100-tHosts[Consumed CPU %])/100),0))</f>
        <v/>
      </c>
      <c r="H61" s="35">
        <f>IF(A61="","",ROUND(SUMIF(tHosts[Cluster],A61,tHosts[Memory Size (MB)])/1024,0))</f>
        <v/>
      </c>
      <c r="I61" s="35">
        <f>IF(A61="","",ROUND(SUMPRODUCT((tHosts[Cluster]=A61)*tHosts[Memory Size (MB)]*tHosts[Consumed Memory %]/100)/1024,0))</f>
        <v/>
      </c>
      <c r="J61" s="36">
        <f>IF(A61="","",IFERROR(1-I61/H61,0))</f>
        <v/>
      </c>
      <c r="K61" s="37">
        <f>IF(A61="","",IF(J61&lt;0.2,"🔴 Critique (&lt;20%)",IF(J61&lt;0.3,"⚠️ Warning (&lt;30%)","✅ OK (≥30%)")))</f>
        <v/>
      </c>
      <c r="L61" s="35">
        <f>IF(A61="","",COUNTIF(tVMs[Cluster],A61))</f>
        <v/>
      </c>
      <c r="M61" s="35">
        <f>IF(A61="","",SUMIF(tVMs[Cluster],A61,tVMs[Provisioned Space]))</f>
        <v/>
      </c>
      <c r="N61" s="35">
        <f>IF(A61="","",SUMIF(tVMs[Cluster],A61,tVMs[Used Space]))</f>
        <v/>
      </c>
      <c r="O61" s="37">
        <f>IF(A61="","",IF(E61&lt;0.2,"🔴 CPU critique",IF(J61&lt;0.2,"🔴 RAM critique",IF(E61&lt;0.3,"⚠️ CPU warning",IF(J61&lt;0.3,"⚠️ RAM warning","✅ OK")))))</f>
        <v/>
      </c>
    </row>
    <row r="62" ht="22" customHeight="1">
      <c r="A62" s="38" t="inlineStr">
        <is>
          <t>TOTAUX</t>
        </is>
      </c>
      <c r="B62" s="39">
        <f>SUMIF($A$12:$A$61,"&lt;&gt;""",B12:B61)</f>
        <v/>
      </c>
      <c r="C62" s="39">
        <f>SUMIF($A$12:$A$61,"&lt;&gt;""",C12:C61)</f>
        <v/>
      </c>
      <c r="D62" s="38" t="n"/>
      <c r="E62" s="38" t="n"/>
      <c r="F62" s="38" t="n"/>
      <c r="G62" s="39">
        <f>SUMIF($A$12:$A$61,"&lt;&gt;""",G12:G61)</f>
        <v/>
      </c>
      <c r="H62" s="39">
        <f>SUMIF($A$12:$A$61,"&lt;&gt;""",H12:H61)</f>
        <v/>
      </c>
      <c r="I62" s="39">
        <f>SUMIF($A$12:$A$61,"&lt;&gt;""",I12:I61)</f>
        <v/>
      </c>
      <c r="J62" s="38" t="n"/>
      <c r="K62" s="38" t="n"/>
      <c r="L62" s="39">
        <f>SUMIF($A$12:$A$61,"&lt;&gt;""",L12:L61)</f>
        <v/>
      </c>
      <c r="M62" s="39">
        <f>SUMIF($A$12:$A$61,"&lt;&gt;""",M12:M61)</f>
        <v/>
      </c>
      <c r="N62" s="39">
        <f>SUMIF($A$12:$A$61,"&lt;&gt;""",N12:N61)</f>
        <v/>
      </c>
      <c r="O62" s="38" t="n"/>
    </row>
    <row r="64" ht="20" customHeight="1">
      <c r="A64" s="29" t="inlineStr">
        <is>
          <t xml:space="preserve">  📈  GRAPHIQUES PAR CLUSTER</t>
        </is>
      </c>
    </row>
  </sheetData>
  <mergeCells count="24">
    <mergeCell ref="A9:Q9"/>
    <mergeCell ref="J5:K5"/>
    <mergeCell ref="A64:Q64"/>
    <mergeCell ref="M5:N5"/>
    <mergeCell ref="A6:B6"/>
    <mergeCell ref="D6:E6"/>
    <mergeCell ref="A7:B7"/>
    <mergeCell ref="G7:H7"/>
    <mergeCell ref="J6:K6"/>
    <mergeCell ref="A2:R2"/>
    <mergeCell ref="P6:Q6"/>
    <mergeCell ref="G6:H6"/>
    <mergeCell ref="M7:N7"/>
    <mergeCell ref="D7:E7"/>
    <mergeCell ref="M6:N6"/>
    <mergeCell ref="P7:Q7"/>
    <mergeCell ref="A10:R10"/>
    <mergeCell ref="J7:K7"/>
    <mergeCell ref="A5:B5"/>
    <mergeCell ref="G5:H5"/>
    <mergeCell ref="A4:Q4"/>
    <mergeCell ref="D5:E5"/>
    <mergeCell ref="A1:R1"/>
    <mergeCell ref="P5:Q5"/>
  </mergeCells>
  <conditionalFormatting sqref="D12:D61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conditionalFormatting sqref="E12:E61">
    <cfRule type="colorScale" priority="2">
      <colorScale>
        <cfvo type="num" val="0"/>
        <cfvo type="num" val="0.3"/>
        <cfvo type="num" val="0.8"/>
        <color rgb="00F8696B"/>
        <color rgb="00FFEB84"/>
        <color rgb="0063BE7B"/>
      </colorScale>
    </cfRule>
  </conditionalFormatting>
  <conditionalFormatting sqref="J12:J61">
    <cfRule type="colorScale" priority="3">
      <colorScale>
        <cfvo type="num" val="0"/>
        <cfvo type="num" val="0.3"/>
        <cfvo type="num" val="0.8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57F17"/>
    <outlinePr summaryBelow="1" summaryRight="1"/>
    <pageSetUpPr/>
  </sheetPr>
  <dimension ref="A1:P5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</cols>
  <sheetData>
    <row r="1" ht="50" customHeight="1">
      <c r="A1" s="1" t="inlineStr">
        <is>
          <t>💽  ANALYSE CAPACITÉ – STOCKAGE</t>
        </is>
      </c>
    </row>
    <row r="2" ht="16" customHeight="1">
      <c r="A2" s="2" t="inlineStr">
        <is>
          <t>✅ 100% automatique | Groupé par Datastore Cluster | Recalcul instantané après actualisation Power Query</t>
        </is>
      </c>
    </row>
    <row r="4" ht="20" customHeight="1">
      <c r="A4" s="15" t="inlineStr">
        <is>
          <t xml:space="preserve">  📊  INDICATEURS GLOBAUX STOCKAGE</t>
        </is>
      </c>
    </row>
    <row r="5" ht="18" customHeight="1">
      <c r="A5" s="16" t="inlineStr">
        <is>
          <t>Cap. Totale (GB)</t>
        </is>
      </c>
      <c r="B5" s="17" t="n"/>
      <c r="D5" s="19" t="inlineStr">
        <is>
          <t>Espace Libre (GB)</t>
        </is>
      </c>
      <c r="E5" s="17" t="n"/>
      <c r="G5" s="20" t="inlineStr">
        <is>
          <t>Provisionné (GB)</t>
        </is>
      </c>
      <c r="H5" s="17" t="n"/>
      <c r="J5" s="18" t="inlineStr">
        <is>
          <t>Usage global</t>
        </is>
      </c>
      <c r="K5" s="17" t="n"/>
      <c r="M5" s="40" t="inlineStr">
        <is>
          <t>DS critiques</t>
        </is>
      </c>
      <c r="N5" s="17" t="n"/>
    </row>
    <row r="6" ht="40" customHeight="1">
      <c r="A6" s="21">
        <f>IFERROR(ROUND(SUM(tDatastores[Capacity]),0),0)</f>
        <v/>
      </c>
      <c r="B6" s="17" t="n"/>
      <c r="D6" s="41">
        <f>IFERROR(ROUND(SUM(tDatastores[Free]),0),0)</f>
        <v/>
      </c>
      <c r="E6" s="17" t="n"/>
      <c r="G6" s="24">
        <f>IFERROR(ROUND(SUM(tDatastores[Provisioned]),0),0)</f>
        <v/>
      </c>
      <c r="H6" s="17" t="n"/>
      <c r="J6" s="22">
        <f>IFERROR(1-SUM(tDatastores[Free])/SUM(tDatastores[Capacity]),0)</f>
        <v/>
      </c>
      <c r="K6" s="17" t="n"/>
      <c r="M6" s="42">
        <f>COUNTIF(tDatastores[Status],"Red")+COUNTIF(tDatastores[Status],"Yellow")</f>
        <v/>
      </c>
      <c r="N6" s="17" t="n"/>
    </row>
    <row r="7" ht="14" customHeight="1">
      <c r="A7" s="25" t="inlineStr">
        <is>
          <t>GB total</t>
        </is>
      </c>
      <c r="B7" s="17" t="n"/>
      <c r="D7" s="27" t="inlineStr">
        <is>
          <t>GB libres</t>
        </is>
      </c>
      <c r="E7" s="17" t="n"/>
      <c r="G7" s="28" t="inlineStr">
        <is>
          <t>GB provisionnés</t>
        </is>
      </c>
      <c r="H7" s="17" t="n"/>
      <c r="J7" s="26" t="inlineStr">
        <is>
          <t>% utilisé</t>
        </is>
      </c>
      <c r="K7" s="17" t="n"/>
      <c r="M7" s="43" t="inlineStr">
        <is>
          <t>⚠️/🔴</t>
        </is>
      </c>
      <c r="N7" s="17" t="n"/>
    </row>
    <row r="9" ht="20" customHeight="1">
      <c r="A9" s="44" t="inlineStr">
        <is>
          <t xml:space="preserve">  📋  RÉSUMÉ PAR DATASTORE CLUSTER  ✅ Automatique</t>
        </is>
      </c>
    </row>
    <row r="10">
      <c r="A10" s="45" t="inlineStr">
        <is>
          <t>✅  Les Datastore Clusters sont extraits automatiquement de tDatastores. Les datastores sans DS Cluster apparaissent regroupés sous leur nom individuel.</t>
        </is>
      </c>
    </row>
    <row r="11" ht="26" customHeight="1">
      <c r="A11" s="10" t="inlineStr">
        <is>
          <t>Datastore Cluster</t>
        </is>
      </c>
      <c r="B11" s="10" t="inlineStr">
        <is>
          <t>Type principal</t>
        </is>
      </c>
      <c r="C11" s="10" t="inlineStr">
        <is>
          <t>Nb DS</t>
        </is>
      </c>
      <c r="D11" s="10" t="inlineStr">
        <is>
          <t>Capacité (GB)</t>
        </is>
      </c>
      <c r="E11" s="10" t="inlineStr">
        <is>
          <t>Libre (GB)</t>
        </is>
      </c>
      <c r="F11" s="10" t="inlineStr">
        <is>
          <t>Utilisé (GB)</t>
        </is>
      </c>
      <c r="G11" s="10" t="inlineStr">
        <is>
          <t>Usage %</t>
        </is>
      </c>
      <c r="H11" s="10" t="inlineStr">
        <is>
          <t>Provisionné (GB)</t>
        </is>
      </c>
      <c r="I11" s="10" t="inlineStr">
        <is>
          <t>Over-commit %</t>
        </is>
      </c>
      <c r="J11" s="10" t="inlineStr">
        <is>
          <t>Statut</t>
        </is>
      </c>
      <c r="K11" s="10" t="inlineStr">
        <is>
          <t>DS alertes</t>
        </is>
      </c>
      <c r="L11" s="10" t="inlineStr">
        <is>
          <t>Alerte</t>
        </is>
      </c>
    </row>
    <row r="12" ht="19" customHeight="1">
      <c r="A12" s="30">
        <f>IFERROR(INDEX(tDatastores[Datastore Cluster],MATCH(0,COUNTIF($A$12,tDatastores[Datastore Cluster]),0)),"")</f>
        <v/>
      </c>
      <c r="B12" s="33">
        <f>IF(A12="","",IFERROR(INDEX(tDatastores[Type],MATCH(A12,tDatastores[Datastore Cluster],0)),"Mixed"))</f>
        <v/>
      </c>
      <c r="C12" s="31">
        <f>IF(A12="","",COUNTIF(tDatastores[Datastore Cluster],A12))</f>
        <v/>
      </c>
      <c r="D12" s="31">
        <f>IF(A12="","",IFERROR(SUMIF(tDatastores[Datastore Cluster],A12,tDatastores[Capacity]),0))</f>
        <v/>
      </c>
      <c r="E12" s="31">
        <f>IF(A12="","",IFERROR(SUMIF(tDatastores[Datastore Cluster],A12,tDatastores[Free]),0))</f>
        <v/>
      </c>
      <c r="F12" s="31">
        <f>IF(A12="","",IFERROR(D12-E12,0))</f>
        <v/>
      </c>
      <c r="G12" s="32">
        <f>IF(A12="","",IFERROR(F12/D12,0))</f>
        <v/>
      </c>
      <c r="H12" s="31">
        <f>IF(A12="","",IFERROR(SUMIF(tDatastores[Datastore Cluster],A12,tDatastores[Provisioned]),0))</f>
        <v/>
      </c>
      <c r="I12" s="32">
        <f>IF(A12="","",IFERROR(H12/D12,0))</f>
        <v/>
      </c>
      <c r="J12" s="33">
        <f>IF(A12="","",IF(G12&gt;0.9,"🔴 Critique (&gt;90%)",IF(G12&gt;0.8,"⚠️ Warning (&gt;80%)","✅ OK")))</f>
        <v/>
      </c>
      <c r="K12" s="31">
        <f>IF(A12="","",COUNTIFS(tDatastores[Datastore Cluster],A12,tDatastores[Status],"Red")+COUNTIFS(tDatastores[Datastore Cluster],A12,tDatastores[Status],"Yellow"))</f>
        <v/>
      </c>
      <c r="L12" s="33">
        <f>IF(A12="","",IF(G12&gt;0.9,"🔴 Espace critique",IF(H12&gt;D12,"⚠️ Sur-provisionné",IF(K12&gt;0,"⚠️ DS en alerte","✅ OK"))))</f>
        <v/>
      </c>
    </row>
    <row r="13" ht="19" customHeight="1">
      <c r="A13" s="34">
        <f>IFERROR(INDEX(tDatastores[Datastore Cluster],MATCH(0,COUNTIF($A$12:$A$12,tDatastores[Datastore Cluster]),0)),"")</f>
        <v/>
      </c>
      <c r="B13" s="37">
        <f>IF(A13="","",IFERROR(INDEX(tDatastores[Type],MATCH(A13,tDatastores[Datastore Cluster],0)),"Mixed"))</f>
        <v/>
      </c>
      <c r="C13" s="35">
        <f>IF(A13="","",COUNTIF(tDatastores[Datastore Cluster],A13))</f>
        <v/>
      </c>
      <c r="D13" s="35">
        <f>IF(A13="","",IFERROR(SUMIF(tDatastores[Datastore Cluster],A13,tDatastores[Capacity]),0))</f>
        <v/>
      </c>
      <c r="E13" s="35">
        <f>IF(A13="","",IFERROR(SUMIF(tDatastores[Datastore Cluster],A13,tDatastores[Free]),0))</f>
        <v/>
      </c>
      <c r="F13" s="35">
        <f>IF(A13="","",IFERROR(D13-E13,0))</f>
        <v/>
      </c>
      <c r="G13" s="36">
        <f>IF(A13="","",IFERROR(F13/D13,0))</f>
        <v/>
      </c>
      <c r="H13" s="35">
        <f>IF(A13="","",IFERROR(SUMIF(tDatastores[Datastore Cluster],A13,tDatastores[Provisioned]),0))</f>
        <v/>
      </c>
      <c r="I13" s="36">
        <f>IF(A13="","",IFERROR(H13/D13,0))</f>
        <v/>
      </c>
      <c r="J13" s="37">
        <f>IF(A13="","",IF(G13&gt;0.9,"🔴 Critique (&gt;90%)",IF(G13&gt;0.8,"⚠️ Warning (&gt;80%)","✅ OK")))</f>
        <v/>
      </c>
      <c r="K13" s="35">
        <f>IF(A13="","",COUNTIFS(tDatastores[Datastore Cluster],A13,tDatastores[Status],"Red")+COUNTIFS(tDatastores[Datastore Cluster],A13,tDatastores[Status],"Yellow"))</f>
        <v/>
      </c>
      <c r="L13" s="37">
        <f>IF(A13="","",IF(G13&gt;0.9,"🔴 Espace critique",IF(H13&gt;D13,"⚠️ Sur-provisionné",IF(K13&gt;0,"⚠️ DS en alerte","✅ OK"))))</f>
        <v/>
      </c>
    </row>
    <row r="14" ht="19" customHeight="1">
      <c r="A14" s="30">
        <f>IFERROR(INDEX(tDatastores[Datastore Cluster],MATCH(0,COUNTIF($A$12:$A$13,tDatastores[Datastore Cluster]),0)),"")</f>
        <v/>
      </c>
      <c r="B14" s="33">
        <f>IF(A14="","",IFERROR(INDEX(tDatastores[Type],MATCH(A14,tDatastores[Datastore Cluster],0)),"Mixed"))</f>
        <v/>
      </c>
      <c r="C14" s="31">
        <f>IF(A14="","",COUNTIF(tDatastores[Datastore Cluster],A14))</f>
        <v/>
      </c>
      <c r="D14" s="31">
        <f>IF(A14="","",IFERROR(SUMIF(tDatastores[Datastore Cluster],A14,tDatastores[Capacity]),0))</f>
        <v/>
      </c>
      <c r="E14" s="31">
        <f>IF(A14="","",IFERROR(SUMIF(tDatastores[Datastore Cluster],A14,tDatastores[Free]),0))</f>
        <v/>
      </c>
      <c r="F14" s="31">
        <f>IF(A14="","",IFERROR(D14-E14,0))</f>
        <v/>
      </c>
      <c r="G14" s="32">
        <f>IF(A14="","",IFERROR(F14/D14,0))</f>
        <v/>
      </c>
      <c r="H14" s="31">
        <f>IF(A14="","",IFERROR(SUMIF(tDatastores[Datastore Cluster],A14,tDatastores[Provisioned]),0))</f>
        <v/>
      </c>
      <c r="I14" s="32">
        <f>IF(A14="","",IFERROR(H14/D14,0))</f>
        <v/>
      </c>
      <c r="J14" s="33">
        <f>IF(A14="","",IF(G14&gt;0.9,"🔴 Critique (&gt;90%)",IF(G14&gt;0.8,"⚠️ Warning (&gt;80%)","✅ OK")))</f>
        <v/>
      </c>
      <c r="K14" s="31">
        <f>IF(A14="","",COUNTIFS(tDatastores[Datastore Cluster],A14,tDatastores[Status],"Red")+COUNTIFS(tDatastores[Datastore Cluster],A14,tDatastores[Status],"Yellow"))</f>
        <v/>
      </c>
      <c r="L14" s="33">
        <f>IF(A14="","",IF(G14&gt;0.9,"🔴 Espace critique",IF(H14&gt;D14,"⚠️ Sur-provisionné",IF(K14&gt;0,"⚠️ DS en alerte","✅ OK"))))</f>
        <v/>
      </c>
    </row>
    <row r="15" ht="19" customHeight="1">
      <c r="A15" s="34">
        <f>IFERROR(INDEX(tDatastores[Datastore Cluster],MATCH(0,COUNTIF($A$12:$A$14,tDatastores[Datastore Cluster]),0)),"")</f>
        <v/>
      </c>
      <c r="B15" s="37">
        <f>IF(A15="","",IFERROR(INDEX(tDatastores[Type],MATCH(A15,tDatastores[Datastore Cluster],0)),"Mixed"))</f>
        <v/>
      </c>
      <c r="C15" s="35">
        <f>IF(A15="","",COUNTIF(tDatastores[Datastore Cluster],A15))</f>
        <v/>
      </c>
      <c r="D15" s="35">
        <f>IF(A15="","",IFERROR(SUMIF(tDatastores[Datastore Cluster],A15,tDatastores[Capacity]),0))</f>
        <v/>
      </c>
      <c r="E15" s="35">
        <f>IF(A15="","",IFERROR(SUMIF(tDatastores[Datastore Cluster],A15,tDatastores[Free]),0))</f>
        <v/>
      </c>
      <c r="F15" s="35">
        <f>IF(A15="","",IFERROR(D15-E15,0))</f>
        <v/>
      </c>
      <c r="G15" s="36">
        <f>IF(A15="","",IFERROR(F15/D15,0))</f>
        <v/>
      </c>
      <c r="H15" s="35">
        <f>IF(A15="","",IFERROR(SUMIF(tDatastores[Datastore Cluster],A15,tDatastores[Provisioned]),0))</f>
        <v/>
      </c>
      <c r="I15" s="36">
        <f>IF(A15="","",IFERROR(H15/D15,0))</f>
        <v/>
      </c>
      <c r="J15" s="37">
        <f>IF(A15="","",IF(G15&gt;0.9,"🔴 Critique (&gt;90%)",IF(G15&gt;0.8,"⚠️ Warning (&gt;80%)","✅ OK")))</f>
        <v/>
      </c>
      <c r="K15" s="35">
        <f>IF(A15="","",COUNTIFS(tDatastores[Datastore Cluster],A15,tDatastores[Status],"Red")+COUNTIFS(tDatastores[Datastore Cluster],A15,tDatastores[Status],"Yellow"))</f>
        <v/>
      </c>
      <c r="L15" s="37">
        <f>IF(A15="","",IF(G15&gt;0.9,"🔴 Espace critique",IF(H15&gt;D15,"⚠️ Sur-provisionné",IF(K15&gt;0,"⚠️ DS en alerte","✅ OK"))))</f>
        <v/>
      </c>
    </row>
    <row r="16" ht="19" customHeight="1">
      <c r="A16" s="30">
        <f>IFERROR(INDEX(tDatastores[Datastore Cluster],MATCH(0,COUNTIF($A$12:$A$15,tDatastores[Datastore Cluster]),0)),"")</f>
        <v/>
      </c>
      <c r="B16" s="33">
        <f>IF(A16="","",IFERROR(INDEX(tDatastores[Type],MATCH(A16,tDatastores[Datastore Cluster],0)),"Mixed"))</f>
        <v/>
      </c>
      <c r="C16" s="31">
        <f>IF(A16="","",COUNTIF(tDatastores[Datastore Cluster],A16))</f>
        <v/>
      </c>
      <c r="D16" s="31">
        <f>IF(A16="","",IFERROR(SUMIF(tDatastores[Datastore Cluster],A16,tDatastores[Capacity]),0))</f>
        <v/>
      </c>
      <c r="E16" s="31">
        <f>IF(A16="","",IFERROR(SUMIF(tDatastores[Datastore Cluster],A16,tDatastores[Free]),0))</f>
        <v/>
      </c>
      <c r="F16" s="31">
        <f>IF(A16="","",IFERROR(D16-E16,0))</f>
        <v/>
      </c>
      <c r="G16" s="32">
        <f>IF(A16="","",IFERROR(F16/D16,0))</f>
        <v/>
      </c>
      <c r="H16" s="31">
        <f>IF(A16="","",IFERROR(SUMIF(tDatastores[Datastore Cluster],A16,tDatastores[Provisioned]),0))</f>
        <v/>
      </c>
      <c r="I16" s="32">
        <f>IF(A16="","",IFERROR(H16/D16,0))</f>
        <v/>
      </c>
      <c r="J16" s="33">
        <f>IF(A16="","",IF(G16&gt;0.9,"🔴 Critique (&gt;90%)",IF(G16&gt;0.8,"⚠️ Warning (&gt;80%)","✅ OK")))</f>
        <v/>
      </c>
      <c r="K16" s="31">
        <f>IF(A16="","",COUNTIFS(tDatastores[Datastore Cluster],A16,tDatastores[Status],"Red")+COUNTIFS(tDatastores[Datastore Cluster],A16,tDatastores[Status],"Yellow"))</f>
        <v/>
      </c>
      <c r="L16" s="33">
        <f>IF(A16="","",IF(G16&gt;0.9,"🔴 Espace critique",IF(H16&gt;D16,"⚠️ Sur-provisionné",IF(K16&gt;0,"⚠️ DS en alerte","✅ OK"))))</f>
        <v/>
      </c>
    </row>
    <row r="17" ht="19" customHeight="1">
      <c r="A17" s="34">
        <f>IFERROR(INDEX(tDatastores[Datastore Cluster],MATCH(0,COUNTIF($A$12:$A$16,tDatastores[Datastore Cluster]),0)),"")</f>
        <v/>
      </c>
      <c r="B17" s="37">
        <f>IF(A17="","",IFERROR(INDEX(tDatastores[Type],MATCH(A17,tDatastores[Datastore Cluster],0)),"Mixed"))</f>
        <v/>
      </c>
      <c r="C17" s="35">
        <f>IF(A17="","",COUNTIF(tDatastores[Datastore Cluster],A17))</f>
        <v/>
      </c>
      <c r="D17" s="35">
        <f>IF(A17="","",IFERROR(SUMIF(tDatastores[Datastore Cluster],A17,tDatastores[Capacity]),0))</f>
        <v/>
      </c>
      <c r="E17" s="35">
        <f>IF(A17="","",IFERROR(SUMIF(tDatastores[Datastore Cluster],A17,tDatastores[Free]),0))</f>
        <v/>
      </c>
      <c r="F17" s="35">
        <f>IF(A17="","",IFERROR(D17-E17,0))</f>
        <v/>
      </c>
      <c r="G17" s="36">
        <f>IF(A17="","",IFERROR(F17/D17,0))</f>
        <v/>
      </c>
      <c r="H17" s="35">
        <f>IF(A17="","",IFERROR(SUMIF(tDatastores[Datastore Cluster],A17,tDatastores[Provisioned]),0))</f>
        <v/>
      </c>
      <c r="I17" s="36">
        <f>IF(A17="","",IFERROR(H17/D17,0))</f>
        <v/>
      </c>
      <c r="J17" s="37">
        <f>IF(A17="","",IF(G17&gt;0.9,"🔴 Critique (&gt;90%)",IF(G17&gt;0.8,"⚠️ Warning (&gt;80%)","✅ OK")))</f>
        <v/>
      </c>
      <c r="K17" s="35">
        <f>IF(A17="","",COUNTIFS(tDatastores[Datastore Cluster],A17,tDatastores[Status],"Red")+COUNTIFS(tDatastores[Datastore Cluster],A17,tDatastores[Status],"Yellow"))</f>
        <v/>
      </c>
      <c r="L17" s="37">
        <f>IF(A17="","",IF(G17&gt;0.9,"🔴 Espace critique",IF(H17&gt;D17,"⚠️ Sur-provisionné",IF(K17&gt;0,"⚠️ DS en alerte","✅ OK"))))</f>
        <v/>
      </c>
    </row>
    <row r="18" ht="19" customHeight="1">
      <c r="A18" s="30">
        <f>IFERROR(INDEX(tDatastores[Datastore Cluster],MATCH(0,COUNTIF($A$12:$A$17,tDatastores[Datastore Cluster]),0)),"")</f>
        <v/>
      </c>
      <c r="B18" s="33">
        <f>IF(A18="","",IFERROR(INDEX(tDatastores[Type],MATCH(A18,tDatastores[Datastore Cluster],0)),"Mixed"))</f>
        <v/>
      </c>
      <c r="C18" s="31">
        <f>IF(A18="","",COUNTIF(tDatastores[Datastore Cluster],A18))</f>
        <v/>
      </c>
      <c r="D18" s="31">
        <f>IF(A18="","",IFERROR(SUMIF(tDatastores[Datastore Cluster],A18,tDatastores[Capacity]),0))</f>
        <v/>
      </c>
      <c r="E18" s="31">
        <f>IF(A18="","",IFERROR(SUMIF(tDatastores[Datastore Cluster],A18,tDatastores[Free]),0))</f>
        <v/>
      </c>
      <c r="F18" s="31">
        <f>IF(A18="","",IFERROR(D18-E18,0))</f>
        <v/>
      </c>
      <c r="G18" s="32">
        <f>IF(A18="","",IFERROR(F18/D18,0))</f>
        <v/>
      </c>
      <c r="H18" s="31">
        <f>IF(A18="","",IFERROR(SUMIF(tDatastores[Datastore Cluster],A18,tDatastores[Provisioned]),0))</f>
        <v/>
      </c>
      <c r="I18" s="32">
        <f>IF(A18="","",IFERROR(H18/D18,0))</f>
        <v/>
      </c>
      <c r="J18" s="33">
        <f>IF(A18="","",IF(G18&gt;0.9,"🔴 Critique (&gt;90%)",IF(G18&gt;0.8,"⚠️ Warning (&gt;80%)","✅ OK")))</f>
        <v/>
      </c>
      <c r="K18" s="31">
        <f>IF(A18="","",COUNTIFS(tDatastores[Datastore Cluster],A18,tDatastores[Status],"Red")+COUNTIFS(tDatastores[Datastore Cluster],A18,tDatastores[Status],"Yellow"))</f>
        <v/>
      </c>
      <c r="L18" s="33">
        <f>IF(A18="","",IF(G18&gt;0.9,"🔴 Espace critique",IF(H18&gt;D18,"⚠️ Sur-provisionné",IF(K18&gt;0,"⚠️ DS en alerte","✅ OK"))))</f>
        <v/>
      </c>
    </row>
    <row r="19" ht="19" customHeight="1">
      <c r="A19" s="34">
        <f>IFERROR(INDEX(tDatastores[Datastore Cluster],MATCH(0,COUNTIF($A$12:$A$18,tDatastores[Datastore Cluster]),0)),"")</f>
        <v/>
      </c>
      <c r="B19" s="37">
        <f>IF(A19="","",IFERROR(INDEX(tDatastores[Type],MATCH(A19,tDatastores[Datastore Cluster],0)),"Mixed"))</f>
        <v/>
      </c>
      <c r="C19" s="35">
        <f>IF(A19="","",COUNTIF(tDatastores[Datastore Cluster],A19))</f>
        <v/>
      </c>
      <c r="D19" s="35">
        <f>IF(A19="","",IFERROR(SUMIF(tDatastores[Datastore Cluster],A19,tDatastores[Capacity]),0))</f>
        <v/>
      </c>
      <c r="E19" s="35">
        <f>IF(A19="","",IFERROR(SUMIF(tDatastores[Datastore Cluster],A19,tDatastores[Free]),0))</f>
        <v/>
      </c>
      <c r="F19" s="35">
        <f>IF(A19="","",IFERROR(D19-E19,0))</f>
        <v/>
      </c>
      <c r="G19" s="36">
        <f>IF(A19="","",IFERROR(F19/D19,0))</f>
        <v/>
      </c>
      <c r="H19" s="35">
        <f>IF(A19="","",IFERROR(SUMIF(tDatastores[Datastore Cluster],A19,tDatastores[Provisioned]),0))</f>
        <v/>
      </c>
      <c r="I19" s="36">
        <f>IF(A19="","",IFERROR(H19/D19,0))</f>
        <v/>
      </c>
      <c r="J19" s="37">
        <f>IF(A19="","",IF(G19&gt;0.9,"🔴 Critique (&gt;90%)",IF(G19&gt;0.8,"⚠️ Warning (&gt;80%)","✅ OK")))</f>
        <v/>
      </c>
      <c r="K19" s="35">
        <f>IF(A19="","",COUNTIFS(tDatastores[Datastore Cluster],A19,tDatastores[Status],"Red")+COUNTIFS(tDatastores[Datastore Cluster],A19,tDatastores[Status],"Yellow"))</f>
        <v/>
      </c>
      <c r="L19" s="37">
        <f>IF(A19="","",IF(G19&gt;0.9,"🔴 Espace critique",IF(H19&gt;D19,"⚠️ Sur-provisionné",IF(K19&gt;0,"⚠️ DS en alerte","✅ OK"))))</f>
        <v/>
      </c>
    </row>
    <row r="20" ht="19" customHeight="1">
      <c r="A20" s="30">
        <f>IFERROR(INDEX(tDatastores[Datastore Cluster],MATCH(0,COUNTIF($A$12:$A$19,tDatastores[Datastore Cluster]),0)),"")</f>
        <v/>
      </c>
      <c r="B20" s="33">
        <f>IF(A20="","",IFERROR(INDEX(tDatastores[Type],MATCH(A20,tDatastores[Datastore Cluster],0)),"Mixed"))</f>
        <v/>
      </c>
      <c r="C20" s="31">
        <f>IF(A20="","",COUNTIF(tDatastores[Datastore Cluster],A20))</f>
        <v/>
      </c>
      <c r="D20" s="31">
        <f>IF(A20="","",IFERROR(SUMIF(tDatastores[Datastore Cluster],A20,tDatastores[Capacity]),0))</f>
        <v/>
      </c>
      <c r="E20" s="31">
        <f>IF(A20="","",IFERROR(SUMIF(tDatastores[Datastore Cluster],A20,tDatastores[Free]),0))</f>
        <v/>
      </c>
      <c r="F20" s="31">
        <f>IF(A20="","",IFERROR(D20-E20,0))</f>
        <v/>
      </c>
      <c r="G20" s="32">
        <f>IF(A20="","",IFERROR(F20/D20,0))</f>
        <v/>
      </c>
      <c r="H20" s="31">
        <f>IF(A20="","",IFERROR(SUMIF(tDatastores[Datastore Cluster],A20,tDatastores[Provisioned]),0))</f>
        <v/>
      </c>
      <c r="I20" s="32">
        <f>IF(A20="","",IFERROR(H20/D20,0))</f>
        <v/>
      </c>
      <c r="J20" s="33">
        <f>IF(A20="","",IF(G20&gt;0.9,"🔴 Critique (&gt;90%)",IF(G20&gt;0.8,"⚠️ Warning (&gt;80%)","✅ OK")))</f>
        <v/>
      </c>
      <c r="K20" s="31">
        <f>IF(A20="","",COUNTIFS(tDatastores[Datastore Cluster],A20,tDatastores[Status],"Red")+COUNTIFS(tDatastores[Datastore Cluster],A20,tDatastores[Status],"Yellow"))</f>
        <v/>
      </c>
      <c r="L20" s="33">
        <f>IF(A20="","",IF(G20&gt;0.9,"🔴 Espace critique",IF(H20&gt;D20,"⚠️ Sur-provisionné",IF(K20&gt;0,"⚠️ DS en alerte","✅ OK"))))</f>
        <v/>
      </c>
    </row>
    <row r="21" ht="19" customHeight="1">
      <c r="A21" s="34">
        <f>IFERROR(INDEX(tDatastores[Datastore Cluster],MATCH(0,COUNTIF($A$12:$A$20,tDatastores[Datastore Cluster]),0)),"")</f>
        <v/>
      </c>
      <c r="B21" s="37">
        <f>IF(A21="","",IFERROR(INDEX(tDatastores[Type],MATCH(A21,tDatastores[Datastore Cluster],0)),"Mixed"))</f>
        <v/>
      </c>
      <c r="C21" s="35">
        <f>IF(A21="","",COUNTIF(tDatastores[Datastore Cluster],A21))</f>
        <v/>
      </c>
      <c r="D21" s="35">
        <f>IF(A21="","",IFERROR(SUMIF(tDatastores[Datastore Cluster],A21,tDatastores[Capacity]),0))</f>
        <v/>
      </c>
      <c r="E21" s="35">
        <f>IF(A21="","",IFERROR(SUMIF(tDatastores[Datastore Cluster],A21,tDatastores[Free]),0))</f>
        <v/>
      </c>
      <c r="F21" s="35">
        <f>IF(A21="","",IFERROR(D21-E21,0))</f>
        <v/>
      </c>
      <c r="G21" s="36">
        <f>IF(A21="","",IFERROR(F21/D21,0))</f>
        <v/>
      </c>
      <c r="H21" s="35">
        <f>IF(A21="","",IFERROR(SUMIF(tDatastores[Datastore Cluster],A21,tDatastores[Provisioned]),0))</f>
        <v/>
      </c>
      <c r="I21" s="36">
        <f>IF(A21="","",IFERROR(H21/D21,0))</f>
        <v/>
      </c>
      <c r="J21" s="37">
        <f>IF(A21="","",IF(G21&gt;0.9,"🔴 Critique (&gt;90%)",IF(G21&gt;0.8,"⚠️ Warning (&gt;80%)","✅ OK")))</f>
        <v/>
      </c>
      <c r="K21" s="35">
        <f>IF(A21="","",COUNTIFS(tDatastores[Datastore Cluster],A21,tDatastores[Status],"Red")+COUNTIFS(tDatastores[Datastore Cluster],A21,tDatastores[Status],"Yellow"))</f>
        <v/>
      </c>
      <c r="L21" s="37">
        <f>IF(A21="","",IF(G21&gt;0.9,"🔴 Espace critique",IF(H21&gt;D21,"⚠️ Sur-provisionné",IF(K21&gt;0,"⚠️ DS en alerte","✅ OK"))))</f>
        <v/>
      </c>
    </row>
    <row r="22" ht="19" customHeight="1">
      <c r="A22" s="30">
        <f>IFERROR(INDEX(tDatastores[Datastore Cluster],MATCH(0,COUNTIF($A$12:$A$21,tDatastores[Datastore Cluster]),0)),"")</f>
        <v/>
      </c>
      <c r="B22" s="33">
        <f>IF(A22="","",IFERROR(INDEX(tDatastores[Type],MATCH(A22,tDatastores[Datastore Cluster],0)),"Mixed"))</f>
        <v/>
      </c>
      <c r="C22" s="31">
        <f>IF(A22="","",COUNTIF(tDatastores[Datastore Cluster],A22))</f>
        <v/>
      </c>
      <c r="D22" s="31">
        <f>IF(A22="","",IFERROR(SUMIF(tDatastores[Datastore Cluster],A22,tDatastores[Capacity]),0))</f>
        <v/>
      </c>
      <c r="E22" s="31">
        <f>IF(A22="","",IFERROR(SUMIF(tDatastores[Datastore Cluster],A22,tDatastores[Free]),0))</f>
        <v/>
      </c>
      <c r="F22" s="31">
        <f>IF(A22="","",IFERROR(D22-E22,0))</f>
        <v/>
      </c>
      <c r="G22" s="32">
        <f>IF(A22="","",IFERROR(F22/D22,0))</f>
        <v/>
      </c>
      <c r="H22" s="31">
        <f>IF(A22="","",IFERROR(SUMIF(tDatastores[Datastore Cluster],A22,tDatastores[Provisioned]),0))</f>
        <v/>
      </c>
      <c r="I22" s="32">
        <f>IF(A22="","",IFERROR(H22/D22,0))</f>
        <v/>
      </c>
      <c r="J22" s="33">
        <f>IF(A22="","",IF(G22&gt;0.9,"🔴 Critique (&gt;90%)",IF(G22&gt;0.8,"⚠️ Warning (&gt;80%)","✅ OK")))</f>
        <v/>
      </c>
      <c r="K22" s="31">
        <f>IF(A22="","",COUNTIFS(tDatastores[Datastore Cluster],A22,tDatastores[Status],"Red")+COUNTIFS(tDatastores[Datastore Cluster],A22,tDatastores[Status],"Yellow"))</f>
        <v/>
      </c>
      <c r="L22" s="33">
        <f>IF(A22="","",IF(G22&gt;0.9,"🔴 Espace critique",IF(H22&gt;D22,"⚠️ Sur-provisionné",IF(K22&gt;0,"⚠️ DS en alerte","✅ OK"))))</f>
        <v/>
      </c>
    </row>
    <row r="23" ht="19" customHeight="1">
      <c r="A23" s="34">
        <f>IFERROR(INDEX(tDatastores[Datastore Cluster],MATCH(0,COUNTIF($A$12:$A$22,tDatastores[Datastore Cluster]),0)),"")</f>
        <v/>
      </c>
      <c r="B23" s="37">
        <f>IF(A23="","",IFERROR(INDEX(tDatastores[Type],MATCH(A23,tDatastores[Datastore Cluster],0)),"Mixed"))</f>
        <v/>
      </c>
      <c r="C23" s="35">
        <f>IF(A23="","",COUNTIF(tDatastores[Datastore Cluster],A23))</f>
        <v/>
      </c>
      <c r="D23" s="35">
        <f>IF(A23="","",IFERROR(SUMIF(tDatastores[Datastore Cluster],A23,tDatastores[Capacity]),0))</f>
        <v/>
      </c>
      <c r="E23" s="35">
        <f>IF(A23="","",IFERROR(SUMIF(tDatastores[Datastore Cluster],A23,tDatastores[Free]),0))</f>
        <v/>
      </c>
      <c r="F23" s="35">
        <f>IF(A23="","",IFERROR(D23-E23,0))</f>
        <v/>
      </c>
      <c r="G23" s="36">
        <f>IF(A23="","",IFERROR(F23/D23,0))</f>
        <v/>
      </c>
      <c r="H23" s="35">
        <f>IF(A23="","",IFERROR(SUMIF(tDatastores[Datastore Cluster],A23,tDatastores[Provisioned]),0))</f>
        <v/>
      </c>
      <c r="I23" s="36">
        <f>IF(A23="","",IFERROR(H23/D23,0))</f>
        <v/>
      </c>
      <c r="J23" s="37">
        <f>IF(A23="","",IF(G23&gt;0.9,"🔴 Critique (&gt;90%)",IF(G23&gt;0.8,"⚠️ Warning (&gt;80%)","✅ OK")))</f>
        <v/>
      </c>
      <c r="K23" s="35">
        <f>IF(A23="","",COUNTIFS(tDatastores[Datastore Cluster],A23,tDatastores[Status],"Red")+COUNTIFS(tDatastores[Datastore Cluster],A23,tDatastores[Status],"Yellow"))</f>
        <v/>
      </c>
      <c r="L23" s="37">
        <f>IF(A23="","",IF(G23&gt;0.9,"🔴 Espace critique",IF(H23&gt;D23,"⚠️ Sur-provisionné",IF(K23&gt;0,"⚠️ DS en alerte","✅ OK"))))</f>
        <v/>
      </c>
    </row>
    <row r="24" ht="19" customHeight="1">
      <c r="A24" s="30">
        <f>IFERROR(INDEX(tDatastores[Datastore Cluster],MATCH(0,COUNTIF($A$12:$A$23,tDatastores[Datastore Cluster]),0)),"")</f>
        <v/>
      </c>
      <c r="B24" s="33">
        <f>IF(A24="","",IFERROR(INDEX(tDatastores[Type],MATCH(A24,tDatastores[Datastore Cluster],0)),"Mixed"))</f>
        <v/>
      </c>
      <c r="C24" s="31">
        <f>IF(A24="","",COUNTIF(tDatastores[Datastore Cluster],A24))</f>
        <v/>
      </c>
      <c r="D24" s="31">
        <f>IF(A24="","",IFERROR(SUMIF(tDatastores[Datastore Cluster],A24,tDatastores[Capacity]),0))</f>
        <v/>
      </c>
      <c r="E24" s="31">
        <f>IF(A24="","",IFERROR(SUMIF(tDatastores[Datastore Cluster],A24,tDatastores[Free]),0))</f>
        <v/>
      </c>
      <c r="F24" s="31">
        <f>IF(A24="","",IFERROR(D24-E24,0))</f>
        <v/>
      </c>
      <c r="G24" s="32">
        <f>IF(A24="","",IFERROR(F24/D24,0))</f>
        <v/>
      </c>
      <c r="H24" s="31">
        <f>IF(A24="","",IFERROR(SUMIF(tDatastores[Datastore Cluster],A24,tDatastores[Provisioned]),0))</f>
        <v/>
      </c>
      <c r="I24" s="32">
        <f>IF(A24="","",IFERROR(H24/D24,0))</f>
        <v/>
      </c>
      <c r="J24" s="33">
        <f>IF(A24="","",IF(G24&gt;0.9,"🔴 Critique (&gt;90%)",IF(G24&gt;0.8,"⚠️ Warning (&gt;80%)","✅ OK")))</f>
        <v/>
      </c>
      <c r="K24" s="31">
        <f>IF(A24="","",COUNTIFS(tDatastores[Datastore Cluster],A24,tDatastores[Status],"Red")+COUNTIFS(tDatastores[Datastore Cluster],A24,tDatastores[Status],"Yellow"))</f>
        <v/>
      </c>
      <c r="L24" s="33">
        <f>IF(A24="","",IF(G24&gt;0.9,"🔴 Espace critique",IF(H24&gt;D24,"⚠️ Sur-provisionné",IF(K24&gt;0,"⚠️ DS en alerte","✅ OK"))))</f>
        <v/>
      </c>
    </row>
    <row r="25" ht="19" customHeight="1">
      <c r="A25" s="34">
        <f>IFERROR(INDEX(tDatastores[Datastore Cluster],MATCH(0,COUNTIF($A$12:$A$24,tDatastores[Datastore Cluster]),0)),"")</f>
        <v/>
      </c>
      <c r="B25" s="37">
        <f>IF(A25="","",IFERROR(INDEX(tDatastores[Type],MATCH(A25,tDatastores[Datastore Cluster],0)),"Mixed"))</f>
        <v/>
      </c>
      <c r="C25" s="35">
        <f>IF(A25="","",COUNTIF(tDatastores[Datastore Cluster],A25))</f>
        <v/>
      </c>
      <c r="D25" s="35">
        <f>IF(A25="","",IFERROR(SUMIF(tDatastores[Datastore Cluster],A25,tDatastores[Capacity]),0))</f>
        <v/>
      </c>
      <c r="E25" s="35">
        <f>IF(A25="","",IFERROR(SUMIF(tDatastores[Datastore Cluster],A25,tDatastores[Free]),0))</f>
        <v/>
      </c>
      <c r="F25" s="35">
        <f>IF(A25="","",IFERROR(D25-E25,0))</f>
        <v/>
      </c>
      <c r="G25" s="36">
        <f>IF(A25="","",IFERROR(F25/D25,0))</f>
        <v/>
      </c>
      <c r="H25" s="35">
        <f>IF(A25="","",IFERROR(SUMIF(tDatastores[Datastore Cluster],A25,tDatastores[Provisioned]),0))</f>
        <v/>
      </c>
      <c r="I25" s="36">
        <f>IF(A25="","",IFERROR(H25/D25,0))</f>
        <v/>
      </c>
      <c r="J25" s="37">
        <f>IF(A25="","",IF(G25&gt;0.9,"🔴 Critique (&gt;90%)",IF(G25&gt;0.8,"⚠️ Warning (&gt;80%)","✅ OK")))</f>
        <v/>
      </c>
      <c r="K25" s="35">
        <f>IF(A25="","",COUNTIFS(tDatastores[Datastore Cluster],A25,tDatastores[Status],"Red")+COUNTIFS(tDatastores[Datastore Cluster],A25,tDatastores[Status],"Yellow"))</f>
        <v/>
      </c>
      <c r="L25" s="37">
        <f>IF(A25="","",IF(G25&gt;0.9,"🔴 Espace critique",IF(H25&gt;D25,"⚠️ Sur-provisionné",IF(K25&gt;0,"⚠️ DS en alerte","✅ OK"))))</f>
        <v/>
      </c>
    </row>
    <row r="26" ht="19" customHeight="1">
      <c r="A26" s="30">
        <f>IFERROR(INDEX(tDatastores[Datastore Cluster],MATCH(0,COUNTIF($A$12:$A$25,tDatastores[Datastore Cluster]),0)),"")</f>
        <v/>
      </c>
      <c r="B26" s="33">
        <f>IF(A26="","",IFERROR(INDEX(tDatastores[Type],MATCH(A26,tDatastores[Datastore Cluster],0)),"Mixed"))</f>
        <v/>
      </c>
      <c r="C26" s="31">
        <f>IF(A26="","",COUNTIF(tDatastores[Datastore Cluster],A26))</f>
        <v/>
      </c>
      <c r="D26" s="31">
        <f>IF(A26="","",IFERROR(SUMIF(tDatastores[Datastore Cluster],A26,tDatastores[Capacity]),0))</f>
        <v/>
      </c>
      <c r="E26" s="31">
        <f>IF(A26="","",IFERROR(SUMIF(tDatastores[Datastore Cluster],A26,tDatastores[Free]),0))</f>
        <v/>
      </c>
      <c r="F26" s="31">
        <f>IF(A26="","",IFERROR(D26-E26,0))</f>
        <v/>
      </c>
      <c r="G26" s="32">
        <f>IF(A26="","",IFERROR(F26/D26,0))</f>
        <v/>
      </c>
      <c r="H26" s="31">
        <f>IF(A26="","",IFERROR(SUMIF(tDatastores[Datastore Cluster],A26,tDatastores[Provisioned]),0))</f>
        <v/>
      </c>
      <c r="I26" s="32">
        <f>IF(A26="","",IFERROR(H26/D26,0))</f>
        <v/>
      </c>
      <c r="J26" s="33">
        <f>IF(A26="","",IF(G26&gt;0.9,"🔴 Critique (&gt;90%)",IF(G26&gt;0.8,"⚠️ Warning (&gt;80%)","✅ OK")))</f>
        <v/>
      </c>
      <c r="K26" s="31">
        <f>IF(A26="","",COUNTIFS(tDatastores[Datastore Cluster],A26,tDatastores[Status],"Red")+COUNTIFS(tDatastores[Datastore Cluster],A26,tDatastores[Status],"Yellow"))</f>
        <v/>
      </c>
      <c r="L26" s="33">
        <f>IF(A26="","",IF(G26&gt;0.9,"🔴 Espace critique",IF(H26&gt;D26,"⚠️ Sur-provisionné",IF(K26&gt;0,"⚠️ DS en alerte","✅ OK"))))</f>
        <v/>
      </c>
    </row>
    <row r="27" ht="19" customHeight="1">
      <c r="A27" s="34">
        <f>IFERROR(INDEX(tDatastores[Datastore Cluster],MATCH(0,COUNTIF($A$12:$A$26,tDatastores[Datastore Cluster]),0)),"")</f>
        <v/>
      </c>
      <c r="B27" s="37">
        <f>IF(A27="","",IFERROR(INDEX(tDatastores[Type],MATCH(A27,tDatastores[Datastore Cluster],0)),"Mixed"))</f>
        <v/>
      </c>
      <c r="C27" s="35">
        <f>IF(A27="","",COUNTIF(tDatastores[Datastore Cluster],A27))</f>
        <v/>
      </c>
      <c r="D27" s="35">
        <f>IF(A27="","",IFERROR(SUMIF(tDatastores[Datastore Cluster],A27,tDatastores[Capacity]),0))</f>
        <v/>
      </c>
      <c r="E27" s="35">
        <f>IF(A27="","",IFERROR(SUMIF(tDatastores[Datastore Cluster],A27,tDatastores[Free]),0))</f>
        <v/>
      </c>
      <c r="F27" s="35">
        <f>IF(A27="","",IFERROR(D27-E27,0))</f>
        <v/>
      </c>
      <c r="G27" s="36">
        <f>IF(A27="","",IFERROR(F27/D27,0))</f>
        <v/>
      </c>
      <c r="H27" s="35">
        <f>IF(A27="","",IFERROR(SUMIF(tDatastores[Datastore Cluster],A27,tDatastores[Provisioned]),0))</f>
        <v/>
      </c>
      <c r="I27" s="36">
        <f>IF(A27="","",IFERROR(H27/D27,0))</f>
        <v/>
      </c>
      <c r="J27" s="37">
        <f>IF(A27="","",IF(G27&gt;0.9,"🔴 Critique (&gt;90%)",IF(G27&gt;0.8,"⚠️ Warning (&gt;80%)","✅ OK")))</f>
        <v/>
      </c>
      <c r="K27" s="35">
        <f>IF(A27="","",COUNTIFS(tDatastores[Datastore Cluster],A27,tDatastores[Status],"Red")+COUNTIFS(tDatastores[Datastore Cluster],A27,tDatastores[Status],"Yellow"))</f>
        <v/>
      </c>
      <c r="L27" s="37">
        <f>IF(A27="","",IF(G27&gt;0.9,"🔴 Espace critique",IF(H27&gt;D27,"⚠️ Sur-provisionné",IF(K27&gt;0,"⚠️ DS en alerte","✅ OK"))))</f>
        <v/>
      </c>
    </row>
    <row r="28" ht="19" customHeight="1">
      <c r="A28" s="30">
        <f>IFERROR(INDEX(tDatastores[Datastore Cluster],MATCH(0,COUNTIF($A$12:$A$27,tDatastores[Datastore Cluster]),0)),"")</f>
        <v/>
      </c>
      <c r="B28" s="33">
        <f>IF(A28="","",IFERROR(INDEX(tDatastores[Type],MATCH(A28,tDatastores[Datastore Cluster],0)),"Mixed"))</f>
        <v/>
      </c>
      <c r="C28" s="31">
        <f>IF(A28="","",COUNTIF(tDatastores[Datastore Cluster],A28))</f>
        <v/>
      </c>
      <c r="D28" s="31">
        <f>IF(A28="","",IFERROR(SUMIF(tDatastores[Datastore Cluster],A28,tDatastores[Capacity]),0))</f>
        <v/>
      </c>
      <c r="E28" s="31">
        <f>IF(A28="","",IFERROR(SUMIF(tDatastores[Datastore Cluster],A28,tDatastores[Free]),0))</f>
        <v/>
      </c>
      <c r="F28" s="31">
        <f>IF(A28="","",IFERROR(D28-E28,0))</f>
        <v/>
      </c>
      <c r="G28" s="32">
        <f>IF(A28="","",IFERROR(F28/D28,0))</f>
        <v/>
      </c>
      <c r="H28" s="31">
        <f>IF(A28="","",IFERROR(SUMIF(tDatastores[Datastore Cluster],A28,tDatastores[Provisioned]),0))</f>
        <v/>
      </c>
      <c r="I28" s="32">
        <f>IF(A28="","",IFERROR(H28/D28,0))</f>
        <v/>
      </c>
      <c r="J28" s="33">
        <f>IF(A28="","",IF(G28&gt;0.9,"🔴 Critique (&gt;90%)",IF(G28&gt;0.8,"⚠️ Warning (&gt;80%)","✅ OK")))</f>
        <v/>
      </c>
      <c r="K28" s="31">
        <f>IF(A28="","",COUNTIFS(tDatastores[Datastore Cluster],A28,tDatastores[Status],"Red")+COUNTIFS(tDatastores[Datastore Cluster],A28,tDatastores[Status],"Yellow"))</f>
        <v/>
      </c>
      <c r="L28" s="33">
        <f>IF(A28="","",IF(G28&gt;0.9,"🔴 Espace critique",IF(H28&gt;D28,"⚠️ Sur-provisionné",IF(K28&gt;0,"⚠️ DS en alerte","✅ OK"))))</f>
        <v/>
      </c>
    </row>
    <row r="29" ht="19" customHeight="1">
      <c r="A29" s="34">
        <f>IFERROR(INDEX(tDatastores[Datastore Cluster],MATCH(0,COUNTIF($A$12:$A$28,tDatastores[Datastore Cluster]),0)),"")</f>
        <v/>
      </c>
      <c r="B29" s="37">
        <f>IF(A29="","",IFERROR(INDEX(tDatastores[Type],MATCH(A29,tDatastores[Datastore Cluster],0)),"Mixed"))</f>
        <v/>
      </c>
      <c r="C29" s="35">
        <f>IF(A29="","",COUNTIF(tDatastores[Datastore Cluster],A29))</f>
        <v/>
      </c>
      <c r="D29" s="35">
        <f>IF(A29="","",IFERROR(SUMIF(tDatastores[Datastore Cluster],A29,tDatastores[Capacity]),0))</f>
        <v/>
      </c>
      <c r="E29" s="35">
        <f>IF(A29="","",IFERROR(SUMIF(tDatastores[Datastore Cluster],A29,tDatastores[Free]),0))</f>
        <v/>
      </c>
      <c r="F29" s="35">
        <f>IF(A29="","",IFERROR(D29-E29,0))</f>
        <v/>
      </c>
      <c r="G29" s="36">
        <f>IF(A29="","",IFERROR(F29/D29,0))</f>
        <v/>
      </c>
      <c r="H29" s="35">
        <f>IF(A29="","",IFERROR(SUMIF(tDatastores[Datastore Cluster],A29,tDatastores[Provisioned]),0))</f>
        <v/>
      </c>
      <c r="I29" s="36">
        <f>IF(A29="","",IFERROR(H29/D29,0))</f>
        <v/>
      </c>
      <c r="J29" s="37">
        <f>IF(A29="","",IF(G29&gt;0.9,"🔴 Critique (&gt;90%)",IF(G29&gt;0.8,"⚠️ Warning (&gt;80%)","✅ OK")))</f>
        <v/>
      </c>
      <c r="K29" s="35">
        <f>IF(A29="","",COUNTIFS(tDatastores[Datastore Cluster],A29,tDatastores[Status],"Red")+COUNTIFS(tDatastores[Datastore Cluster],A29,tDatastores[Status],"Yellow"))</f>
        <v/>
      </c>
      <c r="L29" s="37">
        <f>IF(A29="","",IF(G29&gt;0.9,"🔴 Espace critique",IF(H29&gt;D29,"⚠️ Sur-provisionné",IF(K29&gt;0,"⚠️ DS en alerte","✅ OK"))))</f>
        <v/>
      </c>
    </row>
    <row r="30" ht="19" customHeight="1">
      <c r="A30" s="30">
        <f>IFERROR(INDEX(tDatastores[Datastore Cluster],MATCH(0,COUNTIF($A$12:$A$29,tDatastores[Datastore Cluster]),0)),"")</f>
        <v/>
      </c>
      <c r="B30" s="33">
        <f>IF(A30="","",IFERROR(INDEX(tDatastores[Type],MATCH(A30,tDatastores[Datastore Cluster],0)),"Mixed"))</f>
        <v/>
      </c>
      <c r="C30" s="31">
        <f>IF(A30="","",COUNTIF(tDatastores[Datastore Cluster],A30))</f>
        <v/>
      </c>
      <c r="D30" s="31">
        <f>IF(A30="","",IFERROR(SUMIF(tDatastores[Datastore Cluster],A30,tDatastores[Capacity]),0))</f>
        <v/>
      </c>
      <c r="E30" s="31">
        <f>IF(A30="","",IFERROR(SUMIF(tDatastores[Datastore Cluster],A30,tDatastores[Free]),0))</f>
        <v/>
      </c>
      <c r="F30" s="31">
        <f>IF(A30="","",IFERROR(D30-E30,0))</f>
        <v/>
      </c>
      <c r="G30" s="32">
        <f>IF(A30="","",IFERROR(F30/D30,0))</f>
        <v/>
      </c>
      <c r="H30" s="31">
        <f>IF(A30="","",IFERROR(SUMIF(tDatastores[Datastore Cluster],A30,tDatastores[Provisioned]),0))</f>
        <v/>
      </c>
      <c r="I30" s="32">
        <f>IF(A30="","",IFERROR(H30/D30,0))</f>
        <v/>
      </c>
      <c r="J30" s="33">
        <f>IF(A30="","",IF(G30&gt;0.9,"🔴 Critique (&gt;90%)",IF(G30&gt;0.8,"⚠️ Warning (&gt;80%)","✅ OK")))</f>
        <v/>
      </c>
      <c r="K30" s="31">
        <f>IF(A30="","",COUNTIFS(tDatastores[Datastore Cluster],A30,tDatastores[Status],"Red")+COUNTIFS(tDatastores[Datastore Cluster],A30,tDatastores[Status],"Yellow"))</f>
        <v/>
      </c>
      <c r="L30" s="33">
        <f>IF(A30="","",IF(G30&gt;0.9,"🔴 Espace critique",IF(H30&gt;D30,"⚠️ Sur-provisionné",IF(K30&gt;0,"⚠️ DS en alerte","✅ OK"))))</f>
        <v/>
      </c>
    </row>
    <row r="31" ht="19" customHeight="1">
      <c r="A31" s="34">
        <f>IFERROR(INDEX(tDatastores[Datastore Cluster],MATCH(0,COUNTIF($A$12:$A$30,tDatastores[Datastore Cluster]),0)),"")</f>
        <v/>
      </c>
      <c r="B31" s="37">
        <f>IF(A31="","",IFERROR(INDEX(tDatastores[Type],MATCH(A31,tDatastores[Datastore Cluster],0)),"Mixed"))</f>
        <v/>
      </c>
      <c r="C31" s="35">
        <f>IF(A31="","",COUNTIF(tDatastores[Datastore Cluster],A31))</f>
        <v/>
      </c>
      <c r="D31" s="35">
        <f>IF(A31="","",IFERROR(SUMIF(tDatastores[Datastore Cluster],A31,tDatastores[Capacity]),0))</f>
        <v/>
      </c>
      <c r="E31" s="35">
        <f>IF(A31="","",IFERROR(SUMIF(tDatastores[Datastore Cluster],A31,tDatastores[Free]),0))</f>
        <v/>
      </c>
      <c r="F31" s="35">
        <f>IF(A31="","",IFERROR(D31-E31,0))</f>
        <v/>
      </c>
      <c r="G31" s="36">
        <f>IF(A31="","",IFERROR(F31/D31,0))</f>
        <v/>
      </c>
      <c r="H31" s="35">
        <f>IF(A31="","",IFERROR(SUMIF(tDatastores[Datastore Cluster],A31,tDatastores[Provisioned]),0))</f>
        <v/>
      </c>
      <c r="I31" s="36">
        <f>IF(A31="","",IFERROR(H31/D31,0))</f>
        <v/>
      </c>
      <c r="J31" s="37">
        <f>IF(A31="","",IF(G31&gt;0.9,"🔴 Critique (&gt;90%)",IF(G31&gt;0.8,"⚠️ Warning (&gt;80%)","✅ OK")))</f>
        <v/>
      </c>
      <c r="K31" s="35">
        <f>IF(A31="","",COUNTIFS(tDatastores[Datastore Cluster],A31,tDatastores[Status],"Red")+COUNTIFS(tDatastores[Datastore Cluster],A31,tDatastores[Status],"Yellow"))</f>
        <v/>
      </c>
      <c r="L31" s="37">
        <f>IF(A31="","",IF(G31&gt;0.9,"🔴 Espace critique",IF(H31&gt;D31,"⚠️ Sur-provisionné",IF(K31&gt;0,"⚠️ DS en alerte","✅ OK"))))</f>
        <v/>
      </c>
    </row>
    <row r="32" ht="19" customHeight="1">
      <c r="A32" s="30">
        <f>IFERROR(INDEX(tDatastores[Datastore Cluster],MATCH(0,COUNTIF($A$12:$A$31,tDatastores[Datastore Cluster]),0)),"")</f>
        <v/>
      </c>
      <c r="B32" s="33">
        <f>IF(A32="","",IFERROR(INDEX(tDatastores[Type],MATCH(A32,tDatastores[Datastore Cluster],0)),"Mixed"))</f>
        <v/>
      </c>
      <c r="C32" s="31">
        <f>IF(A32="","",COUNTIF(tDatastores[Datastore Cluster],A32))</f>
        <v/>
      </c>
      <c r="D32" s="31">
        <f>IF(A32="","",IFERROR(SUMIF(tDatastores[Datastore Cluster],A32,tDatastores[Capacity]),0))</f>
        <v/>
      </c>
      <c r="E32" s="31">
        <f>IF(A32="","",IFERROR(SUMIF(tDatastores[Datastore Cluster],A32,tDatastores[Free]),0))</f>
        <v/>
      </c>
      <c r="F32" s="31">
        <f>IF(A32="","",IFERROR(D32-E32,0))</f>
        <v/>
      </c>
      <c r="G32" s="32">
        <f>IF(A32="","",IFERROR(F32/D32,0))</f>
        <v/>
      </c>
      <c r="H32" s="31">
        <f>IF(A32="","",IFERROR(SUMIF(tDatastores[Datastore Cluster],A32,tDatastores[Provisioned]),0))</f>
        <v/>
      </c>
      <c r="I32" s="32">
        <f>IF(A32="","",IFERROR(H32/D32,0))</f>
        <v/>
      </c>
      <c r="J32" s="33">
        <f>IF(A32="","",IF(G32&gt;0.9,"🔴 Critique (&gt;90%)",IF(G32&gt;0.8,"⚠️ Warning (&gt;80%)","✅ OK")))</f>
        <v/>
      </c>
      <c r="K32" s="31">
        <f>IF(A32="","",COUNTIFS(tDatastores[Datastore Cluster],A32,tDatastores[Status],"Red")+COUNTIFS(tDatastores[Datastore Cluster],A32,tDatastores[Status],"Yellow"))</f>
        <v/>
      </c>
      <c r="L32" s="33">
        <f>IF(A32="","",IF(G32&gt;0.9,"🔴 Espace critique",IF(H32&gt;D32,"⚠️ Sur-provisionné",IF(K32&gt;0,"⚠️ DS en alerte","✅ OK"))))</f>
        <v/>
      </c>
    </row>
    <row r="33" ht="19" customHeight="1">
      <c r="A33" s="34">
        <f>IFERROR(INDEX(tDatastores[Datastore Cluster],MATCH(0,COUNTIF($A$12:$A$32,tDatastores[Datastore Cluster]),0)),"")</f>
        <v/>
      </c>
      <c r="B33" s="37">
        <f>IF(A33="","",IFERROR(INDEX(tDatastores[Type],MATCH(A33,tDatastores[Datastore Cluster],0)),"Mixed"))</f>
        <v/>
      </c>
      <c r="C33" s="35">
        <f>IF(A33="","",COUNTIF(tDatastores[Datastore Cluster],A33))</f>
        <v/>
      </c>
      <c r="D33" s="35">
        <f>IF(A33="","",IFERROR(SUMIF(tDatastores[Datastore Cluster],A33,tDatastores[Capacity]),0))</f>
        <v/>
      </c>
      <c r="E33" s="35">
        <f>IF(A33="","",IFERROR(SUMIF(tDatastores[Datastore Cluster],A33,tDatastores[Free]),0))</f>
        <v/>
      </c>
      <c r="F33" s="35">
        <f>IF(A33="","",IFERROR(D33-E33,0))</f>
        <v/>
      </c>
      <c r="G33" s="36">
        <f>IF(A33="","",IFERROR(F33/D33,0))</f>
        <v/>
      </c>
      <c r="H33" s="35">
        <f>IF(A33="","",IFERROR(SUMIF(tDatastores[Datastore Cluster],A33,tDatastores[Provisioned]),0))</f>
        <v/>
      </c>
      <c r="I33" s="36">
        <f>IF(A33="","",IFERROR(H33/D33,0))</f>
        <v/>
      </c>
      <c r="J33" s="37">
        <f>IF(A33="","",IF(G33&gt;0.9,"🔴 Critique (&gt;90%)",IF(G33&gt;0.8,"⚠️ Warning (&gt;80%)","✅ OK")))</f>
        <v/>
      </c>
      <c r="K33" s="35">
        <f>IF(A33="","",COUNTIFS(tDatastores[Datastore Cluster],A33,tDatastores[Status],"Red")+COUNTIFS(tDatastores[Datastore Cluster],A33,tDatastores[Status],"Yellow"))</f>
        <v/>
      </c>
      <c r="L33" s="37">
        <f>IF(A33="","",IF(G33&gt;0.9,"🔴 Espace critique",IF(H33&gt;D33,"⚠️ Sur-provisionné",IF(K33&gt;0,"⚠️ DS en alerte","✅ OK"))))</f>
        <v/>
      </c>
    </row>
    <row r="34" ht="19" customHeight="1">
      <c r="A34" s="30">
        <f>IFERROR(INDEX(tDatastores[Datastore Cluster],MATCH(0,COUNTIF($A$12:$A$33,tDatastores[Datastore Cluster]),0)),"")</f>
        <v/>
      </c>
      <c r="B34" s="33">
        <f>IF(A34="","",IFERROR(INDEX(tDatastores[Type],MATCH(A34,tDatastores[Datastore Cluster],0)),"Mixed"))</f>
        <v/>
      </c>
      <c r="C34" s="31">
        <f>IF(A34="","",COUNTIF(tDatastores[Datastore Cluster],A34))</f>
        <v/>
      </c>
      <c r="D34" s="31">
        <f>IF(A34="","",IFERROR(SUMIF(tDatastores[Datastore Cluster],A34,tDatastores[Capacity]),0))</f>
        <v/>
      </c>
      <c r="E34" s="31">
        <f>IF(A34="","",IFERROR(SUMIF(tDatastores[Datastore Cluster],A34,tDatastores[Free]),0))</f>
        <v/>
      </c>
      <c r="F34" s="31">
        <f>IF(A34="","",IFERROR(D34-E34,0))</f>
        <v/>
      </c>
      <c r="G34" s="32">
        <f>IF(A34="","",IFERROR(F34/D34,0))</f>
        <v/>
      </c>
      <c r="H34" s="31">
        <f>IF(A34="","",IFERROR(SUMIF(tDatastores[Datastore Cluster],A34,tDatastores[Provisioned]),0))</f>
        <v/>
      </c>
      <c r="I34" s="32">
        <f>IF(A34="","",IFERROR(H34/D34,0))</f>
        <v/>
      </c>
      <c r="J34" s="33">
        <f>IF(A34="","",IF(G34&gt;0.9,"🔴 Critique (&gt;90%)",IF(G34&gt;0.8,"⚠️ Warning (&gt;80%)","✅ OK")))</f>
        <v/>
      </c>
      <c r="K34" s="31">
        <f>IF(A34="","",COUNTIFS(tDatastores[Datastore Cluster],A34,tDatastores[Status],"Red")+COUNTIFS(tDatastores[Datastore Cluster],A34,tDatastores[Status],"Yellow"))</f>
        <v/>
      </c>
      <c r="L34" s="33">
        <f>IF(A34="","",IF(G34&gt;0.9,"🔴 Espace critique",IF(H34&gt;D34,"⚠️ Sur-provisionné",IF(K34&gt;0,"⚠️ DS en alerte","✅ OK"))))</f>
        <v/>
      </c>
    </row>
    <row r="35" ht="19" customHeight="1">
      <c r="A35" s="34">
        <f>IFERROR(INDEX(tDatastores[Datastore Cluster],MATCH(0,COUNTIF($A$12:$A$34,tDatastores[Datastore Cluster]),0)),"")</f>
        <v/>
      </c>
      <c r="B35" s="37">
        <f>IF(A35="","",IFERROR(INDEX(tDatastores[Type],MATCH(A35,tDatastores[Datastore Cluster],0)),"Mixed"))</f>
        <v/>
      </c>
      <c r="C35" s="35">
        <f>IF(A35="","",COUNTIF(tDatastores[Datastore Cluster],A35))</f>
        <v/>
      </c>
      <c r="D35" s="35">
        <f>IF(A35="","",IFERROR(SUMIF(tDatastores[Datastore Cluster],A35,tDatastores[Capacity]),0))</f>
        <v/>
      </c>
      <c r="E35" s="35">
        <f>IF(A35="","",IFERROR(SUMIF(tDatastores[Datastore Cluster],A35,tDatastores[Free]),0))</f>
        <v/>
      </c>
      <c r="F35" s="35">
        <f>IF(A35="","",IFERROR(D35-E35,0))</f>
        <v/>
      </c>
      <c r="G35" s="36">
        <f>IF(A35="","",IFERROR(F35/D35,0))</f>
        <v/>
      </c>
      <c r="H35" s="35">
        <f>IF(A35="","",IFERROR(SUMIF(tDatastores[Datastore Cluster],A35,tDatastores[Provisioned]),0))</f>
        <v/>
      </c>
      <c r="I35" s="36">
        <f>IF(A35="","",IFERROR(H35/D35,0))</f>
        <v/>
      </c>
      <c r="J35" s="37">
        <f>IF(A35="","",IF(G35&gt;0.9,"🔴 Critique (&gt;90%)",IF(G35&gt;0.8,"⚠️ Warning (&gt;80%)","✅ OK")))</f>
        <v/>
      </c>
      <c r="K35" s="35">
        <f>IF(A35="","",COUNTIFS(tDatastores[Datastore Cluster],A35,tDatastores[Status],"Red")+COUNTIFS(tDatastores[Datastore Cluster],A35,tDatastores[Status],"Yellow"))</f>
        <v/>
      </c>
      <c r="L35" s="37">
        <f>IF(A35="","",IF(G35&gt;0.9,"🔴 Espace critique",IF(H35&gt;D35,"⚠️ Sur-provisionné",IF(K35&gt;0,"⚠️ DS en alerte","✅ OK"))))</f>
        <v/>
      </c>
    </row>
    <row r="36" ht="19" customHeight="1">
      <c r="A36" s="30">
        <f>IFERROR(INDEX(tDatastores[Datastore Cluster],MATCH(0,COUNTIF($A$12:$A$35,tDatastores[Datastore Cluster]),0)),"")</f>
        <v/>
      </c>
      <c r="B36" s="33">
        <f>IF(A36="","",IFERROR(INDEX(tDatastores[Type],MATCH(A36,tDatastores[Datastore Cluster],0)),"Mixed"))</f>
        <v/>
      </c>
      <c r="C36" s="31">
        <f>IF(A36="","",COUNTIF(tDatastores[Datastore Cluster],A36))</f>
        <v/>
      </c>
      <c r="D36" s="31">
        <f>IF(A36="","",IFERROR(SUMIF(tDatastores[Datastore Cluster],A36,tDatastores[Capacity]),0))</f>
        <v/>
      </c>
      <c r="E36" s="31">
        <f>IF(A36="","",IFERROR(SUMIF(tDatastores[Datastore Cluster],A36,tDatastores[Free]),0))</f>
        <v/>
      </c>
      <c r="F36" s="31">
        <f>IF(A36="","",IFERROR(D36-E36,0))</f>
        <v/>
      </c>
      <c r="G36" s="32">
        <f>IF(A36="","",IFERROR(F36/D36,0))</f>
        <v/>
      </c>
      <c r="H36" s="31">
        <f>IF(A36="","",IFERROR(SUMIF(tDatastores[Datastore Cluster],A36,tDatastores[Provisioned]),0))</f>
        <v/>
      </c>
      <c r="I36" s="32">
        <f>IF(A36="","",IFERROR(H36/D36,0))</f>
        <v/>
      </c>
      <c r="J36" s="33">
        <f>IF(A36="","",IF(G36&gt;0.9,"🔴 Critique (&gt;90%)",IF(G36&gt;0.8,"⚠️ Warning (&gt;80%)","✅ OK")))</f>
        <v/>
      </c>
      <c r="K36" s="31">
        <f>IF(A36="","",COUNTIFS(tDatastores[Datastore Cluster],A36,tDatastores[Status],"Red")+COUNTIFS(tDatastores[Datastore Cluster],A36,tDatastores[Status],"Yellow"))</f>
        <v/>
      </c>
      <c r="L36" s="33">
        <f>IF(A36="","",IF(G36&gt;0.9,"🔴 Espace critique",IF(H36&gt;D36,"⚠️ Sur-provisionné",IF(K36&gt;0,"⚠️ DS en alerte","✅ OK"))))</f>
        <v/>
      </c>
    </row>
    <row r="37" ht="19" customHeight="1">
      <c r="A37" s="34">
        <f>IFERROR(INDEX(tDatastores[Datastore Cluster],MATCH(0,COUNTIF($A$12:$A$36,tDatastores[Datastore Cluster]),0)),"")</f>
        <v/>
      </c>
      <c r="B37" s="37">
        <f>IF(A37="","",IFERROR(INDEX(tDatastores[Type],MATCH(A37,tDatastores[Datastore Cluster],0)),"Mixed"))</f>
        <v/>
      </c>
      <c r="C37" s="35">
        <f>IF(A37="","",COUNTIF(tDatastores[Datastore Cluster],A37))</f>
        <v/>
      </c>
      <c r="D37" s="35">
        <f>IF(A37="","",IFERROR(SUMIF(tDatastores[Datastore Cluster],A37,tDatastores[Capacity]),0))</f>
        <v/>
      </c>
      <c r="E37" s="35">
        <f>IF(A37="","",IFERROR(SUMIF(tDatastores[Datastore Cluster],A37,tDatastores[Free]),0))</f>
        <v/>
      </c>
      <c r="F37" s="35">
        <f>IF(A37="","",IFERROR(D37-E37,0))</f>
        <v/>
      </c>
      <c r="G37" s="36">
        <f>IF(A37="","",IFERROR(F37/D37,0))</f>
        <v/>
      </c>
      <c r="H37" s="35">
        <f>IF(A37="","",IFERROR(SUMIF(tDatastores[Datastore Cluster],A37,tDatastores[Provisioned]),0))</f>
        <v/>
      </c>
      <c r="I37" s="36">
        <f>IF(A37="","",IFERROR(H37/D37,0))</f>
        <v/>
      </c>
      <c r="J37" s="37">
        <f>IF(A37="","",IF(G37&gt;0.9,"🔴 Critique (&gt;90%)",IF(G37&gt;0.8,"⚠️ Warning (&gt;80%)","✅ OK")))</f>
        <v/>
      </c>
      <c r="K37" s="35">
        <f>IF(A37="","",COUNTIFS(tDatastores[Datastore Cluster],A37,tDatastores[Status],"Red")+COUNTIFS(tDatastores[Datastore Cluster],A37,tDatastores[Status],"Yellow"))</f>
        <v/>
      </c>
      <c r="L37" s="37">
        <f>IF(A37="","",IF(G37&gt;0.9,"🔴 Espace critique",IF(H37&gt;D37,"⚠️ Sur-provisionné",IF(K37&gt;0,"⚠️ DS en alerte","✅ OK"))))</f>
        <v/>
      </c>
    </row>
    <row r="38" ht="19" customHeight="1">
      <c r="A38" s="30">
        <f>IFERROR(INDEX(tDatastores[Datastore Cluster],MATCH(0,COUNTIF($A$12:$A$37,tDatastores[Datastore Cluster]),0)),"")</f>
        <v/>
      </c>
      <c r="B38" s="33">
        <f>IF(A38="","",IFERROR(INDEX(tDatastores[Type],MATCH(A38,tDatastores[Datastore Cluster],0)),"Mixed"))</f>
        <v/>
      </c>
      <c r="C38" s="31">
        <f>IF(A38="","",COUNTIF(tDatastores[Datastore Cluster],A38))</f>
        <v/>
      </c>
      <c r="D38" s="31">
        <f>IF(A38="","",IFERROR(SUMIF(tDatastores[Datastore Cluster],A38,tDatastores[Capacity]),0))</f>
        <v/>
      </c>
      <c r="E38" s="31">
        <f>IF(A38="","",IFERROR(SUMIF(tDatastores[Datastore Cluster],A38,tDatastores[Free]),0))</f>
        <v/>
      </c>
      <c r="F38" s="31">
        <f>IF(A38="","",IFERROR(D38-E38,0))</f>
        <v/>
      </c>
      <c r="G38" s="32">
        <f>IF(A38="","",IFERROR(F38/D38,0))</f>
        <v/>
      </c>
      <c r="H38" s="31">
        <f>IF(A38="","",IFERROR(SUMIF(tDatastores[Datastore Cluster],A38,tDatastores[Provisioned]),0))</f>
        <v/>
      </c>
      <c r="I38" s="32">
        <f>IF(A38="","",IFERROR(H38/D38,0))</f>
        <v/>
      </c>
      <c r="J38" s="33">
        <f>IF(A38="","",IF(G38&gt;0.9,"🔴 Critique (&gt;90%)",IF(G38&gt;0.8,"⚠️ Warning (&gt;80%)","✅ OK")))</f>
        <v/>
      </c>
      <c r="K38" s="31">
        <f>IF(A38="","",COUNTIFS(tDatastores[Datastore Cluster],A38,tDatastores[Status],"Red")+COUNTIFS(tDatastores[Datastore Cluster],A38,tDatastores[Status],"Yellow"))</f>
        <v/>
      </c>
      <c r="L38" s="33">
        <f>IF(A38="","",IF(G38&gt;0.9,"🔴 Espace critique",IF(H38&gt;D38,"⚠️ Sur-provisionné",IF(K38&gt;0,"⚠️ DS en alerte","✅ OK"))))</f>
        <v/>
      </c>
    </row>
    <row r="39" ht="19" customHeight="1">
      <c r="A39" s="34">
        <f>IFERROR(INDEX(tDatastores[Datastore Cluster],MATCH(0,COUNTIF($A$12:$A$38,tDatastores[Datastore Cluster]),0)),"")</f>
        <v/>
      </c>
      <c r="B39" s="37">
        <f>IF(A39="","",IFERROR(INDEX(tDatastores[Type],MATCH(A39,tDatastores[Datastore Cluster],0)),"Mixed"))</f>
        <v/>
      </c>
      <c r="C39" s="35">
        <f>IF(A39="","",COUNTIF(tDatastores[Datastore Cluster],A39))</f>
        <v/>
      </c>
      <c r="D39" s="35">
        <f>IF(A39="","",IFERROR(SUMIF(tDatastores[Datastore Cluster],A39,tDatastores[Capacity]),0))</f>
        <v/>
      </c>
      <c r="E39" s="35">
        <f>IF(A39="","",IFERROR(SUMIF(tDatastores[Datastore Cluster],A39,tDatastores[Free]),0))</f>
        <v/>
      </c>
      <c r="F39" s="35">
        <f>IF(A39="","",IFERROR(D39-E39,0))</f>
        <v/>
      </c>
      <c r="G39" s="36">
        <f>IF(A39="","",IFERROR(F39/D39,0))</f>
        <v/>
      </c>
      <c r="H39" s="35">
        <f>IF(A39="","",IFERROR(SUMIF(tDatastores[Datastore Cluster],A39,tDatastores[Provisioned]),0))</f>
        <v/>
      </c>
      <c r="I39" s="36">
        <f>IF(A39="","",IFERROR(H39/D39,0))</f>
        <v/>
      </c>
      <c r="J39" s="37">
        <f>IF(A39="","",IF(G39&gt;0.9,"🔴 Critique (&gt;90%)",IF(G39&gt;0.8,"⚠️ Warning (&gt;80%)","✅ OK")))</f>
        <v/>
      </c>
      <c r="K39" s="35">
        <f>IF(A39="","",COUNTIFS(tDatastores[Datastore Cluster],A39,tDatastores[Status],"Red")+COUNTIFS(tDatastores[Datastore Cluster],A39,tDatastores[Status],"Yellow"))</f>
        <v/>
      </c>
      <c r="L39" s="37">
        <f>IF(A39="","",IF(G39&gt;0.9,"🔴 Espace critique",IF(H39&gt;D39,"⚠️ Sur-provisionné",IF(K39&gt;0,"⚠️ DS en alerte","✅ OK"))))</f>
        <v/>
      </c>
    </row>
    <row r="40" ht="19" customHeight="1">
      <c r="A40" s="30">
        <f>IFERROR(INDEX(tDatastores[Datastore Cluster],MATCH(0,COUNTIF($A$12:$A$39,tDatastores[Datastore Cluster]),0)),"")</f>
        <v/>
      </c>
      <c r="B40" s="33">
        <f>IF(A40="","",IFERROR(INDEX(tDatastores[Type],MATCH(A40,tDatastores[Datastore Cluster],0)),"Mixed"))</f>
        <v/>
      </c>
      <c r="C40" s="31">
        <f>IF(A40="","",COUNTIF(tDatastores[Datastore Cluster],A40))</f>
        <v/>
      </c>
      <c r="D40" s="31">
        <f>IF(A40="","",IFERROR(SUMIF(tDatastores[Datastore Cluster],A40,tDatastores[Capacity]),0))</f>
        <v/>
      </c>
      <c r="E40" s="31">
        <f>IF(A40="","",IFERROR(SUMIF(tDatastores[Datastore Cluster],A40,tDatastores[Free]),0))</f>
        <v/>
      </c>
      <c r="F40" s="31">
        <f>IF(A40="","",IFERROR(D40-E40,0))</f>
        <v/>
      </c>
      <c r="G40" s="32">
        <f>IF(A40="","",IFERROR(F40/D40,0))</f>
        <v/>
      </c>
      <c r="H40" s="31">
        <f>IF(A40="","",IFERROR(SUMIF(tDatastores[Datastore Cluster],A40,tDatastores[Provisioned]),0))</f>
        <v/>
      </c>
      <c r="I40" s="32">
        <f>IF(A40="","",IFERROR(H40/D40,0))</f>
        <v/>
      </c>
      <c r="J40" s="33">
        <f>IF(A40="","",IF(G40&gt;0.9,"🔴 Critique (&gt;90%)",IF(G40&gt;0.8,"⚠️ Warning (&gt;80%)","✅ OK")))</f>
        <v/>
      </c>
      <c r="K40" s="31">
        <f>IF(A40="","",COUNTIFS(tDatastores[Datastore Cluster],A40,tDatastores[Status],"Red")+COUNTIFS(tDatastores[Datastore Cluster],A40,tDatastores[Status],"Yellow"))</f>
        <v/>
      </c>
      <c r="L40" s="33">
        <f>IF(A40="","",IF(G40&gt;0.9,"🔴 Espace critique",IF(H40&gt;D40,"⚠️ Sur-provisionné",IF(K40&gt;0,"⚠️ DS en alerte","✅ OK"))))</f>
        <v/>
      </c>
    </row>
    <row r="41" ht="19" customHeight="1">
      <c r="A41" s="34">
        <f>IFERROR(INDEX(tDatastores[Datastore Cluster],MATCH(0,COUNTIF($A$12:$A$40,tDatastores[Datastore Cluster]),0)),"")</f>
        <v/>
      </c>
      <c r="B41" s="37">
        <f>IF(A41="","",IFERROR(INDEX(tDatastores[Type],MATCH(A41,tDatastores[Datastore Cluster],0)),"Mixed"))</f>
        <v/>
      </c>
      <c r="C41" s="35">
        <f>IF(A41="","",COUNTIF(tDatastores[Datastore Cluster],A41))</f>
        <v/>
      </c>
      <c r="D41" s="35">
        <f>IF(A41="","",IFERROR(SUMIF(tDatastores[Datastore Cluster],A41,tDatastores[Capacity]),0))</f>
        <v/>
      </c>
      <c r="E41" s="35">
        <f>IF(A41="","",IFERROR(SUMIF(tDatastores[Datastore Cluster],A41,tDatastores[Free]),0))</f>
        <v/>
      </c>
      <c r="F41" s="35">
        <f>IF(A41="","",IFERROR(D41-E41,0))</f>
        <v/>
      </c>
      <c r="G41" s="36">
        <f>IF(A41="","",IFERROR(F41/D41,0))</f>
        <v/>
      </c>
      <c r="H41" s="35">
        <f>IF(A41="","",IFERROR(SUMIF(tDatastores[Datastore Cluster],A41,tDatastores[Provisioned]),0))</f>
        <v/>
      </c>
      <c r="I41" s="36">
        <f>IF(A41="","",IFERROR(H41/D41,0))</f>
        <v/>
      </c>
      <c r="J41" s="37">
        <f>IF(A41="","",IF(G41&gt;0.9,"🔴 Critique (&gt;90%)",IF(G41&gt;0.8,"⚠️ Warning (&gt;80%)","✅ OK")))</f>
        <v/>
      </c>
      <c r="K41" s="35">
        <f>IF(A41="","",COUNTIFS(tDatastores[Datastore Cluster],A41,tDatastores[Status],"Red")+COUNTIFS(tDatastores[Datastore Cluster],A41,tDatastores[Status],"Yellow"))</f>
        <v/>
      </c>
      <c r="L41" s="37">
        <f>IF(A41="","",IF(G41&gt;0.9,"🔴 Espace critique",IF(H41&gt;D41,"⚠️ Sur-provisionné",IF(K41&gt;0,"⚠️ DS en alerte","✅ OK"))))</f>
        <v/>
      </c>
    </row>
    <row r="42" ht="19" customHeight="1">
      <c r="A42" s="30">
        <f>IFERROR(INDEX(tDatastores[Datastore Cluster],MATCH(0,COUNTIF($A$12:$A$41,tDatastores[Datastore Cluster]),0)),"")</f>
        <v/>
      </c>
      <c r="B42" s="33">
        <f>IF(A42="","",IFERROR(INDEX(tDatastores[Type],MATCH(A42,tDatastores[Datastore Cluster],0)),"Mixed"))</f>
        <v/>
      </c>
      <c r="C42" s="31">
        <f>IF(A42="","",COUNTIF(tDatastores[Datastore Cluster],A42))</f>
        <v/>
      </c>
      <c r="D42" s="31">
        <f>IF(A42="","",IFERROR(SUMIF(tDatastores[Datastore Cluster],A42,tDatastores[Capacity]),0))</f>
        <v/>
      </c>
      <c r="E42" s="31">
        <f>IF(A42="","",IFERROR(SUMIF(tDatastores[Datastore Cluster],A42,tDatastores[Free]),0))</f>
        <v/>
      </c>
      <c r="F42" s="31">
        <f>IF(A42="","",IFERROR(D42-E42,0))</f>
        <v/>
      </c>
      <c r="G42" s="32">
        <f>IF(A42="","",IFERROR(F42/D42,0))</f>
        <v/>
      </c>
      <c r="H42" s="31">
        <f>IF(A42="","",IFERROR(SUMIF(tDatastores[Datastore Cluster],A42,tDatastores[Provisioned]),0))</f>
        <v/>
      </c>
      <c r="I42" s="32">
        <f>IF(A42="","",IFERROR(H42/D42,0))</f>
        <v/>
      </c>
      <c r="J42" s="33">
        <f>IF(A42="","",IF(G42&gt;0.9,"🔴 Critique (&gt;90%)",IF(G42&gt;0.8,"⚠️ Warning (&gt;80%)","✅ OK")))</f>
        <v/>
      </c>
      <c r="K42" s="31">
        <f>IF(A42="","",COUNTIFS(tDatastores[Datastore Cluster],A42,tDatastores[Status],"Red")+COUNTIFS(tDatastores[Datastore Cluster],A42,tDatastores[Status],"Yellow"))</f>
        <v/>
      </c>
      <c r="L42" s="33">
        <f>IF(A42="","",IF(G42&gt;0.9,"🔴 Espace critique",IF(H42&gt;D42,"⚠️ Sur-provisionné",IF(K42&gt;0,"⚠️ DS en alerte","✅ OK"))))</f>
        <v/>
      </c>
    </row>
    <row r="43" ht="19" customHeight="1">
      <c r="A43" s="34">
        <f>IFERROR(INDEX(tDatastores[Datastore Cluster],MATCH(0,COUNTIF($A$12:$A$42,tDatastores[Datastore Cluster]),0)),"")</f>
        <v/>
      </c>
      <c r="B43" s="37">
        <f>IF(A43="","",IFERROR(INDEX(tDatastores[Type],MATCH(A43,tDatastores[Datastore Cluster],0)),"Mixed"))</f>
        <v/>
      </c>
      <c r="C43" s="35">
        <f>IF(A43="","",COUNTIF(tDatastores[Datastore Cluster],A43))</f>
        <v/>
      </c>
      <c r="D43" s="35">
        <f>IF(A43="","",IFERROR(SUMIF(tDatastores[Datastore Cluster],A43,tDatastores[Capacity]),0))</f>
        <v/>
      </c>
      <c r="E43" s="35">
        <f>IF(A43="","",IFERROR(SUMIF(tDatastores[Datastore Cluster],A43,tDatastores[Free]),0))</f>
        <v/>
      </c>
      <c r="F43" s="35">
        <f>IF(A43="","",IFERROR(D43-E43,0))</f>
        <v/>
      </c>
      <c r="G43" s="36">
        <f>IF(A43="","",IFERROR(F43/D43,0))</f>
        <v/>
      </c>
      <c r="H43" s="35">
        <f>IF(A43="","",IFERROR(SUMIF(tDatastores[Datastore Cluster],A43,tDatastores[Provisioned]),0))</f>
        <v/>
      </c>
      <c r="I43" s="36">
        <f>IF(A43="","",IFERROR(H43/D43,0))</f>
        <v/>
      </c>
      <c r="J43" s="37">
        <f>IF(A43="","",IF(G43&gt;0.9,"🔴 Critique (&gt;90%)",IF(G43&gt;0.8,"⚠️ Warning (&gt;80%)","✅ OK")))</f>
        <v/>
      </c>
      <c r="K43" s="35">
        <f>IF(A43="","",COUNTIFS(tDatastores[Datastore Cluster],A43,tDatastores[Status],"Red")+COUNTIFS(tDatastores[Datastore Cluster],A43,tDatastores[Status],"Yellow"))</f>
        <v/>
      </c>
      <c r="L43" s="37">
        <f>IF(A43="","",IF(G43&gt;0.9,"🔴 Espace critique",IF(H43&gt;D43,"⚠️ Sur-provisionné",IF(K43&gt;0,"⚠️ DS en alerte","✅ OK"))))</f>
        <v/>
      </c>
    </row>
    <row r="44" ht="19" customHeight="1">
      <c r="A44" s="30">
        <f>IFERROR(INDEX(tDatastores[Datastore Cluster],MATCH(0,COUNTIF($A$12:$A$43,tDatastores[Datastore Cluster]),0)),"")</f>
        <v/>
      </c>
      <c r="B44" s="33">
        <f>IF(A44="","",IFERROR(INDEX(tDatastores[Type],MATCH(A44,tDatastores[Datastore Cluster],0)),"Mixed"))</f>
        <v/>
      </c>
      <c r="C44" s="31">
        <f>IF(A44="","",COUNTIF(tDatastores[Datastore Cluster],A44))</f>
        <v/>
      </c>
      <c r="D44" s="31">
        <f>IF(A44="","",IFERROR(SUMIF(tDatastores[Datastore Cluster],A44,tDatastores[Capacity]),0))</f>
        <v/>
      </c>
      <c r="E44" s="31">
        <f>IF(A44="","",IFERROR(SUMIF(tDatastores[Datastore Cluster],A44,tDatastores[Free]),0))</f>
        <v/>
      </c>
      <c r="F44" s="31">
        <f>IF(A44="","",IFERROR(D44-E44,0))</f>
        <v/>
      </c>
      <c r="G44" s="32">
        <f>IF(A44="","",IFERROR(F44/D44,0))</f>
        <v/>
      </c>
      <c r="H44" s="31">
        <f>IF(A44="","",IFERROR(SUMIF(tDatastores[Datastore Cluster],A44,tDatastores[Provisioned]),0))</f>
        <v/>
      </c>
      <c r="I44" s="32">
        <f>IF(A44="","",IFERROR(H44/D44,0))</f>
        <v/>
      </c>
      <c r="J44" s="33">
        <f>IF(A44="","",IF(G44&gt;0.9,"🔴 Critique (&gt;90%)",IF(G44&gt;0.8,"⚠️ Warning (&gt;80%)","✅ OK")))</f>
        <v/>
      </c>
      <c r="K44" s="31">
        <f>IF(A44="","",COUNTIFS(tDatastores[Datastore Cluster],A44,tDatastores[Status],"Red")+COUNTIFS(tDatastores[Datastore Cluster],A44,tDatastores[Status],"Yellow"))</f>
        <v/>
      </c>
      <c r="L44" s="33">
        <f>IF(A44="","",IF(G44&gt;0.9,"🔴 Espace critique",IF(H44&gt;D44,"⚠️ Sur-provisionné",IF(K44&gt;0,"⚠️ DS en alerte","✅ OK"))))</f>
        <v/>
      </c>
    </row>
    <row r="45" ht="19" customHeight="1">
      <c r="A45" s="34">
        <f>IFERROR(INDEX(tDatastores[Datastore Cluster],MATCH(0,COUNTIF($A$12:$A$44,tDatastores[Datastore Cluster]),0)),"")</f>
        <v/>
      </c>
      <c r="B45" s="37">
        <f>IF(A45="","",IFERROR(INDEX(tDatastores[Type],MATCH(A45,tDatastores[Datastore Cluster],0)),"Mixed"))</f>
        <v/>
      </c>
      <c r="C45" s="35">
        <f>IF(A45="","",COUNTIF(tDatastores[Datastore Cluster],A45))</f>
        <v/>
      </c>
      <c r="D45" s="35">
        <f>IF(A45="","",IFERROR(SUMIF(tDatastores[Datastore Cluster],A45,tDatastores[Capacity]),0))</f>
        <v/>
      </c>
      <c r="E45" s="35">
        <f>IF(A45="","",IFERROR(SUMIF(tDatastores[Datastore Cluster],A45,tDatastores[Free]),0))</f>
        <v/>
      </c>
      <c r="F45" s="35">
        <f>IF(A45="","",IFERROR(D45-E45,0))</f>
        <v/>
      </c>
      <c r="G45" s="36">
        <f>IF(A45="","",IFERROR(F45/D45,0))</f>
        <v/>
      </c>
      <c r="H45" s="35">
        <f>IF(A45="","",IFERROR(SUMIF(tDatastores[Datastore Cluster],A45,tDatastores[Provisioned]),0))</f>
        <v/>
      </c>
      <c r="I45" s="36">
        <f>IF(A45="","",IFERROR(H45/D45,0))</f>
        <v/>
      </c>
      <c r="J45" s="37">
        <f>IF(A45="","",IF(G45&gt;0.9,"🔴 Critique (&gt;90%)",IF(G45&gt;0.8,"⚠️ Warning (&gt;80%)","✅ OK")))</f>
        <v/>
      </c>
      <c r="K45" s="35">
        <f>IF(A45="","",COUNTIFS(tDatastores[Datastore Cluster],A45,tDatastores[Status],"Red")+COUNTIFS(tDatastores[Datastore Cluster],A45,tDatastores[Status],"Yellow"))</f>
        <v/>
      </c>
      <c r="L45" s="37">
        <f>IF(A45="","",IF(G45&gt;0.9,"🔴 Espace critique",IF(H45&gt;D45,"⚠️ Sur-provisionné",IF(K45&gt;0,"⚠️ DS en alerte","✅ OK"))))</f>
        <v/>
      </c>
    </row>
    <row r="46" ht="19" customHeight="1">
      <c r="A46" s="30">
        <f>IFERROR(INDEX(tDatastores[Datastore Cluster],MATCH(0,COUNTIF($A$12:$A$45,tDatastores[Datastore Cluster]),0)),"")</f>
        <v/>
      </c>
      <c r="B46" s="33">
        <f>IF(A46="","",IFERROR(INDEX(tDatastores[Type],MATCH(A46,tDatastores[Datastore Cluster],0)),"Mixed"))</f>
        <v/>
      </c>
      <c r="C46" s="31">
        <f>IF(A46="","",COUNTIF(tDatastores[Datastore Cluster],A46))</f>
        <v/>
      </c>
      <c r="D46" s="31">
        <f>IF(A46="","",IFERROR(SUMIF(tDatastores[Datastore Cluster],A46,tDatastores[Capacity]),0))</f>
        <v/>
      </c>
      <c r="E46" s="31">
        <f>IF(A46="","",IFERROR(SUMIF(tDatastores[Datastore Cluster],A46,tDatastores[Free]),0))</f>
        <v/>
      </c>
      <c r="F46" s="31">
        <f>IF(A46="","",IFERROR(D46-E46,0))</f>
        <v/>
      </c>
      <c r="G46" s="32">
        <f>IF(A46="","",IFERROR(F46/D46,0))</f>
        <v/>
      </c>
      <c r="H46" s="31">
        <f>IF(A46="","",IFERROR(SUMIF(tDatastores[Datastore Cluster],A46,tDatastores[Provisioned]),0))</f>
        <v/>
      </c>
      <c r="I46" s="32">
        <f>IF(A46="","",IFERROR(H46/D46,0))</f>
        <v/>
      </c>
      <c r="J46" s="33">
        <f>IF(A46="","",IF(G46&gt;0.9,"🔴 Critique (&gt;90%)",IF(G46&gt;0.8,"⚠️ Warning (&gt;80%)","✅ OK")))</f>
        <v/>
      </c>
      <c r="K46" s="31">
        <f>IF(A46="","",COUNTIFS(tDatastores[Datastore Cluster],A46,tDatastores[Status],"Red")+COUNTIFS(tDatastores[Datastore Cluster],A46,tDatastores[Status],"Yellow"))</f>
        <v/>
      </c>
      <c r="L46" s="33">
        <f>IF(A46="","",IF(G46&gt;0.9,"🔴 Espace critique",IF(H46&gt;D46,"⚠️ Sur-provisionné",IF(K46&gt;0,"⚠️ DS en alerte","✅ OK"))))</f>
        <v/>
      </c>
    </row>
    <row r="47" ht="19" customHeight="1">
      <c r="A47" s="34">
        <f>IFERROR(INDEX(tDatastores[Datastore Cluster],MATCH(0,COUNTIF($A$12:$A$46,tDatastores[Datastore Cluster]),0)),"")</f>
        <v/>
      </c>
      <c r="B47" s="37">
        <f>IF(A47="","",IFERROR(INDEX(tDatastores[Type],MATCH(A47,tDatastores[Datastore Cluster],0)),"Mixed"))</f>
        <v/>
      </c>
      <c r="C47" s="35">
        <f>IF(A47="","",COUNTIF(tDatastores[Datastore Cluster],A47))</f>
        <v/>
      </c>
      <c r="D47" s="35">
        <f>IF(A47="","",IFERROR(SUMIF(tDatastores[Datastore Cluster],A47,tDatastores[Capacity]),0))</f>
        <v/>
      </c>
      <c r="E47" s="35">
        <f>IF(A47="","",IFERROR(SUMIF(tDatastores[Datastore Cluster],A47,tDatastores[Free]),0))</f>
        <v/>
      </c>
      <c r="F47" s="35">
        <f>IF(A47="","",IFERROR(D47-E47,0))</f>
        <v/>
      </c>
      <c r="G47" s="36">
        <f>IF(A47="","",IFERROR(F47/D47,0))</f>
        <v/>
      </c>
      <c r="H47" s="35">
        <f>IF(A47="","",IFERROR(SUMIF(tDatastores[Datastore Cluster],A47,tDatastores[Provisioned]),0))</f>
        <v/>
      </c>
      <c r="I47" s="36">
        <f>IF(A47="","",IFERROR(H47/D47,0))</f>
        <v/>
      </c>
      <c r="J47" s="37">
        <f>IF(A47="","",IF(G47&gt;0.9,"🔴 Critique (&gt;90%)",IF(G47&gt;0.8,"⚠️ Warning (&gt;80%)","✅ OK")))</f>
        <v/>
      </c>
      <c r="K47" s="35">
        <f>IF(A47="","",COUNTIFS(tDatastores[Datastore Cluster],A47,tDatastores[Status],"Red")+COUNTIFS(tDatastores[Datastore Cluster],A47,tDatastores[Status],"Yellow"))</f>
        <v/>
      </c>
      <c r="L47" s="37">
        <f>IF(A47="","",IF(G47&gt;0.9,"🔴 Espace critique",IF(H47&gt;D47,"⚠️ Sur-provisionné",IF(K47&gt;0,"⚠️ DS en alerte","✅ OK"))))</f>
        <v/>
      </c>
    </row>
    <row r="48" ht="19" customHeight="1">
      <c r="A48" s="30">
        <f>IFERROR(INDEX(tDatastores[Datastore Cluster],MATCH(0,COUNTIF($A$12:$A$47,tDatastores[Datastore Cluster]),0)),"")</f>
        <v/>
      </c>
      <c r="B48" s="33">
        <f>IF(A48="","",IFERROR(INDEX(tDatastores[Type],MATCH(A48,tDatastores[Datastore Cluster],0)),"Mixed"))</f>
        <v/>
      </c>
      <c r="C48" s="31">
        <f>IF(A48="","",COUNTIF(tDatastores[Datastore Cluster],A48))</f>
        <v/>
      </c>
      <c r="D48" s="31">
        <f>IF(A48="","",IFERROR(SUMIF(tDatastores[Datastore Cluster],A48,tDatastores[Capacity]),0))</f>
        <v/>
      </c>
      <c r="E48" s="31">
        <f>IF(A48="","",IFERROR(SUMIF(tDatastores[Datastore Cluster],A48,tDatastores[Free]),0))</f>
        <v/>
      </c>
      <c r="F48" s="31">
        <f>IF(A48="","",IFERROR(D48-E48,0))</f>
        <v/>
      </c>
      <c r="G48" s="32">
        <f>IF(A48="","",IFERROR(F48/D48,0))</f>
        <v/>
      </c>
      <c r="H48" s="31">
        <f>IF(A48="","",IFERROR(SUMIF(tDatastores[Datastore Cluster],A48,tDatastores[Provisioned]),0))</f>
        <v/>
      </c>
      <c r="I48" s="32">
        <f>IF(A48="","",IFERROR(H48/D48,0))</f>
        <v/>
      </c>
      <c r="J48" s="33">
        <f>IF(A48="","",IF(G48&gt;0.9,"🔴 Critique (&gt;90%)",IF(G48&gt;0.8,"⚠️ Warning (&gt;80%)","✅ OK")))</f>
        <v/>
      </c>
      <c r="K48" s="31">
        <f>IF(A48="","",COUNTIFS(tDatastores[Datastore Cluster],A48,tDatastores[Status],"Red")+COUNTIFS(tDatastores[Datastore Cluster],A48,tDatastores[Status],"Yellow"))</f>
        <v/>
      </c>
      <c r="L48" s="33">
        <f>IF(A48="","",IF(G48&gt;0.9,"🔴 Espace critique",IF(H48&gt;D48,"⚠️ Sur-provisionné",IF(K48&gt;0,"⚠️ DS en alerte","✅ OK"))))</f>
        <v/>
      </c>
    </row>
    <row r="49" ht="19" customHeight="1">
      <c r="A49" s="34">
        <f>IFERROR(INDEX(tDatastores[Datastore Cluster],MATCH(0,COUNTIF($A$12:$A$48,tDatastores[Datastore Cluster]),0)),"")</f>
        <v/>
      </c>
      <c r="B49" s="37">
        <f>IF(A49="","",IFERROR(INDEX(tDatastores[Type],MATCH(A49,tDatastores[Datastore Cluster],0)),"Mixed"))</f>
        <v/>
      </c>
      <c r="C49" s="35">
        <f>IF(A49="","",COUNTIF(tDatastores[Datastore Cluster],A49))</f>
        <v/>
      </c>
      <c r="D49" s="35">
        <f>IF(A49="","",IFERROR(SUMIF(tDatastores[Datastore Cluster],A49,tDatastores[Capacity]),0))</f>
        <v/>
      </c>
      <c r="E49" s="35">
        <f>IF(A49="","",IFERROR(SUMIF(tDatastores[Datastore Cluster],A49,tDatastores[Free]),0))</f>
        <v/>
      </c>
      <c r="F49" s="35">
        <f>IF(A49="","",IFERROR(D49-E49,0))</f>
        <v/>
      </c>
      <c r="G49" s="36">
        <f>IF(A49="","",IFERROR(F49/D49,0))</f>
        <v/>
      </c>
      <c r="H49" s="35">
        <f>IF(A49="","",IFERROR(SUMIF(tDatastores[Datastore Cluster],A49,tDatastores[Provisioned]),0))</f>
        <v/>
      </c>
      <c r="I49" s="36">
        <f>IF(A49="","",IFERROR(H49/D49,0))</f>
        <v/>
      </c>
      <c r="J49" s="37">
        <f>IF(A49="","",IF(G49&gt;0.9,"🔴 Critique (&gt;90%)",IF(G49&gt;0.8,"⚠️ Warning (&gt;80%)","✅ OK")))</f>
        <v/>
      </c>
      <c r="K49" s="35">
        <f>IF(A49="","",COUNTIFS(tDatastores[Datastore Cluster],A49,tDatastores[Status],"Red")+COUNTIFS(tDatastores[Datastore Cluster],A49,tDatastores[Status],"Yellow"))</f>
        <v/>
      </c>
      <c r="L49" s="37">
        <f>IF(A49="","",IF(G49&gt;0.9,"🔴 Espace critique",IF(H49&gt;D49,"⚠️ Sur-provisionné",IF(K49&gt;0,"⚠️ DS en alerte","✅ OK"))))</f>
        <v/>
      </c>
    </row>
    <row r="50" ht="19" customHeight="1">
      <c r="A50" s="30">
        <f>IFERROR(INDEX(tDatastores[Datastore Cluster],MATCH(0,COUNTIF($A$12:$A$49,tDatastores[Datastore Cluster]),0)),"")</f>
        <v/>
      </c>
      <c r="B50" s="33">
        <f>IF(A50="","",IFERROR(INDEX(tDatastores[Type],MATCH(A50,tDatastores[Datastore Cluster],0)),"Mixed"))</f>
        <v/>
      </c>
      <c r="C50" s="31">
        <f>IF(A50="","",COUNTIF(tDatastores[Datastore Cluster],A50))</f>
        <v/>
      </c>
      <c r="D50" s="31">
        <f>IF(A50="","",IFERROR(SUMIF(tDatastores[Datastore Cluster],A50,tDatastores[Capacity]),0))</f>
        <v/>
      </c>
      <c r="E50" s="31">
        <f>IF(A50="","",IFERROR(SUMIF(tDatastores[Datastore Cluster],A50,tDatastores[Free]),0))</f>
        <v/>
      </c>
      <c r="F50" s="31">
        <f>IF(A50="","",IFERROR(D50-E50,0))</f>
        <v/>
      </c>
      <c r="G50" s="32">
        <f>IF(A50="","",IFERROR(F50/D50,0))</f>
        <v/>
      </c>
      <c r="H50" s="31">
        <f>IF(A50="","",IFERROR(SUMIF(tDatastores[Datastore Cluster],A50,tDatastores[Provisioned]),0))</f>
        <v/>
      </c>
      <c r="I50" s="32">
        <f>IF(A50="","",IFERROR(H50/D50,0))</f>
        <v/>
      </c>
      <c r="J50" s="33">
        <f>IF(A50="","",IF(G50&gt;0.9,"🔴 Critique (&gt;90%)",IF(G50&gt;0.8,"⚠️ Warning (&gt;80%)","✅ OK")))</f>
        <v/>
      </c>
      <c r="K50" s="31">
        <f>IF(A50="","",COUNTIFS(tDatastores[Datastore Cluster],A50,tDatastores[Status],"Red")+COUNTIFS(tDatastores[Datastore Cluster],A50,tDatastores[Status],"Yellow"))</f>
        <v/>
      </c>
      <c r="L50" s="33">
        <f>IF(A50="","",IF(G50&gt;0.9,"🔴 Espace critique",IF(H50&gt;D50,"⚠️ Sur-provisionné",IF(K50&gt;0,"⚠️ DS en alerte","✅ OK"))))</f>
        <v/>
      </c>
    </row>
    <row r="51" ht="19" customHeight="1">
      <c r="A51" s="34">
        <f>IFERROR(INDEX(tDatastores[Datastore Cluster],MATCH(0,COUNTIF($A$12:$A$50,tDatastores[Datastore Cluster]),0)),"")</f>
        <v/>
      </c>
      <c r="B51" s="37">
        <f>IF(A51="","",IFERROR(INDEX(tDatastores[Type],MATCH(A51,tDatastores[Datastore Cluster],0)),"Mixed"))</f>
        <v/>
      </c>
      <c r="C51" s="35">
        <f>IF(A51="","",COUNTIF(tDatastores[Datastore Cluster],A51))</f>
        <v/>
      </c>
      <c r="D51" s="35">
        <f>IF(A51="","",IFERROR(SUMIF(tDatastores[Datastore Cluster],A51,tDatastores[Capacity]),0))</f>
        <v/>
      </c>
      <c r="E51" s="35">
        <f>IF(A51="","",IFERROR(SUMIF(tDatastores[Datastore Cluster],A51,tDatastores[Free]),0))</f>
        <v/>
      </c>
      <c r="F51" s="35">
        <f>IF(A51="","",IFERROR(D51-E51,0))</f>
        <v/>
      </c>
      <c r="G51" s="36">
        <f>IF(A51="","",IFERROR(F51/D51,0))</f>
        <v/>
      </c>
      <c r="H51" s="35">
        <f>IF(A51="","",IFERROR(SUMIF(tDatastores[Datastore Cluster],A51,tDatastores[Provisioned]),0))</f>
        <v/>
      </c>
      <c r="I51" s="36">
        <f>IF(A51="","",IFERROR(H51/D51,0))</f>
        <v/>
      </c>
      <c r="J51" s="37">
        <f>IF(A51="","",IF(G51&gt;0.9,"🔴 Critique (&gt;90%)",IF(G51&gt;0.8,"⚠️ Warning (&gt;80%)","✅ OK")))</f>
        <v/>
      </c>
      <c r="K51" s="35">
        <f>IF(A51="","",COUNTIFS(tDatastores[Datastore Cluster],A51,tDatastores[Status],"Red")+COUNTIFS(tDatastores[Datastore Cluster],A51,tDatastores[Status],"Yellow"))</f>
        <v/>
      </c>
      <c r="L51" s="37">
        <f>IF(A51="","",IF(G51&gt;0.9,"🔴 Espace critique",IF(H51&gt;D51,"⚠️ Sur-provisionné",IF(K51&gt;0,"⚠️ DS en alerte","✅ OK"))))</f>
        <v/>
      </c>
    </row>
    <row r="52" ht="22" customHeight="1">
      <c r="A52" s="38" t="inlineStr">
        <is>
          <t>TOTAUX</t>
        </is>
      </c>
      <c r="B52" s="38" t="n"/>
      <c r="C52" s="39">
        <f>SUMIF($A$12:$A$51,"&lt;&gt;""",C12:C51)</f>
        <v/>
      </c>
      <c r="D52" s="39">
        <f>SUMIF($A$12:$A$51,"&lt;&gt;""",D12:D51)</f>
        <v/>
      </c>
      <c r="E52" s="39">
        <f>SUMIF($A$12:$A$51,"&lt;&gt;""",E12:E51)</f>
        <v/>
      </c>
      <c r="F52" s="39">
        <f>SUMIF($A$12:$A$51,"&lt;&gt;""",F12:F51)</f>
        <v/>
      </c>
      <c r="G52" s="38" t="n"/>
      <c r="H52" s="39">
        <f>SUMIF($A$12:$A$51,"&lt;&gt;""",H12:H51)</f>
        <v/>
      </c>
      <c r="I52" s="38" t="n"/>
      <c r="J52" s="38" t="n"/>
      <c r="K52" s="38" t="n"/>
      <c r="L52" s="38" t="n"/>
    </row>
    <row r="54" ht="20" customHeight="1">
      <c r="A54" s="44" t="inlineStr">
        <is>
          <t xml:space="preserve">  📊  GRAPHIQUES STOCKAGE</t>
        </is>
      </c>
    </row>
  </sheetData>
  <mergeCells count="21">
    <mergeCell ref="A54:O54"/>
    <mergeCell ref="J5:K5"/>
    <mergeCell ref="M5:N5"/>
    <mergeCell ref="A6:B6"/>
    <mergeCell ref="D6:E6"/>
    <mergeCell ref="A10:P10"/>
    <mergeCell ref="A7:B7"/>
    <mergeCell ref="G7:H7"/>
    <mergeCell ref="J6:K6"/>
    <mergeCell ref="G6:H6"/>
    <mergeCell ref="A4:O4"/>
    <mergeCell ref="M7:N7"/>
    <mergeCell ref="D7:E7"/>
    <mergeCell ref="M6:N6"/>
    <mergeCell ref="A1:P1"/>
    <mergeCell ref="J7:K7"/>
    <mergeCell ref="A5:B5"/>
    <mergeCell ref="G5:H5"/>
    <mergeCell ref="A9:O9"/>
    <mergeCell ref="D5:E5"/>
    <mergeCell ref="A2:P2"/>
  </mergeCells>
  <conditionalFormatting sqref="G12:G51">
    <cfRule type="colorScale" priority="1">
      <colorScale>
        <cfvo type="num" val="0"/>
        <cfvo type="num" val="0.75"/>
        <cfvo type="num" val="1"/>
        <color rgb="0063BE7B"/>
        <color rgb="00FFEB84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4A148C"/>
    <outlinePr summaryBelow="1" summaryRight="1"/>
    <pageSetUpPr/>
  </sheetPr>
  <dimension ref="A1:V6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 ht="50" customHeight="1">
      <c r="A1" s="1" t="inlineStr">
        <is>
          <t>🧪  SIMULATION D'AJOUT DE VMs PAR CLUSTER</t>
        </is>
      </c>
    </row>
    <row r="2" ht="16" customHeight="1">
      <c r="A2" s="2" t="inlineStr">
        <is>
          <t>✅ Clusters extraits automatiquement de tHosts  |  Saisir uniquement le nombre de VMs à ajouter (cellules jaunes) ↓</t>
        </is>
      </c>
    </row>
    <row r="4" ht="20" customHeight="1">
      <c r="A4" s="46" t="inlineStr">
        <is>
          <t xml:space="preserve">  ⚙️  PROFIL VM SIMULÉE  (cellules jaunes = à modifier)</t>
        </is>
      </c>
    </row>
    <row r="5" ht="20" customHeight="1">
      <c r="A5" s="47" t="inlineStr">
        <is>
          <t>vCPUs par VM simulée</t>
        </is>
      </c>
      <c r="B5" s="48" t="n">
        <v>4</v>
      </c>
      <c r="C5" s="49" t="inlineStr">
        <is>
          <t>← Nb de vCPUs par nouvelle VM</t>
        </is>
      </c>
      <c r="D5" s="50" t="n"/>
      <c r="E5" s="50" t="n"/>
      <c r="F5" s="50" t="n"/>
      <c r="G5" s="50" t="n"/>
      <c r="H5" s="50" t="n"/>
      <c r="I5" s="50" t="n"/>
      <c r="J5" s="17" t="n"/>
    </row>
    <row r="6" ht="20" customHeight="1">
      <c r="A6" s="47" t="inlineStr">
        <is>
          <t>RAM par VM simulée (MB)</t>
        </is>
      </c>
      <c r="B6" s="48" t="n">
        <v>8192</v>
      </c>
      <c r="C6" s="49" t="inlineStr">
        <is>
          <t>← RAM allouée par nouvelle VM</t>
        </is>
      </c>
      <c r="D6" s="50" t="n"/>
      <c r="E6" s="50" t="n"/>
      <c r="F6" s="50" t="n"/>
      <c r="G6" s="50" t="n"/>
      <c r="H6" s="50" t="n"/>
      <c r="I6" s="50" t="n"/>
      <c r="J6" s="17" t="n"/>
    </row>
    <row r="7" ht="20" customHeight="1">
      <c r="A7" s="47" t="inlineStr">
        <is>
          <t>Charge CPU estimée par vCPU (%)</t>
        </is>
      </c>
      <c r="B7" s="51" t="n">
        <v>30</v>
      </c>
      <c r="C7" s="49" t="inlineStr">
        <is>
          <t>← % CPU d'un cœur physique consommé (ex: 30 = 30%)</t>
        </is>
      </c>
      <c r="D7" s="50" t="n"/>
      <c r="E7" s="50" t="n"/>
      <c r="F7" s="50" t="n"/>
      <c r="G7" s="50" t="n"/>
      <c r="H7" s="50" t="n"/>
      <c r="I7" s="50" t="n"/>
      <c r="J7" s="17" t="n"/>
    </row>
    <row r="8" ht="20" customHeight="1">
      <c r="A8" s="47" t="inlineStr">
        <is>
          <t>Stockage par VM simulée (GB)</t>
        </is>
      </c>
      <c r="B8" s="48" t="n">
        <v>100</v>
      </c>
      <c r="C8" s="49" t="inlineStr">
        <is>
          <t>← Espace disque par nouvelle VM</t>
        </is>
      </c>
      <c r="D8" s="50" t="n"/>
      <c r="E8" s="50" t="n"/>
      <c r="F8" s="50" t="n"/>
      <c r="G8" s="50" t="n"/>
      <c r="H8" s="50" t="n"/>
      <c r="I8" s="50" t="n"/>
      <c r="J8" s="17" t="n"/>
    </row>
    <row r="9" ht="20" customHeight="1">
      <c r="A9" s="47" t="inlineStr">
        <is>
          <t>Seuil CPU libre minimum (%)</t>
        </is>
      </c>
      <c r="B9" s="51" t="n">
        <v>20</v>
      </c>
      <c r="C9" s="49" t="inlineStr">
        <is>
          <t>← Alerte si CPU libre &lt; seuil (20 = 20%)</t>
        </is>
      </c>
      <c r="D9" s="50" t="n"/>
      <c r="E9" s="50" t="n"/>
      <c r="F9" s="50" t="n"/>
      <c r="G9" s="50" t="n"/>
      <c r="H9" s="50" t="n"/>
      <c r="I9" s="50" t="n"/>
      <c r="J9" s="17" t="n"/>
    </row>
    <row r="10" ht="20" customHeight="1">
      <c r="A10" s="47" t="inlineStr">
        <is>
          <t>Seuil RAM libre minimum (%)</t>
        </is>
      </c>
      <c r="B10" s="51" t="n">
        <v>20</v>
      </c>
      <c r="C10" s="49" t="inlineStr">
        <is>
          <t>← Alerte si RAM libre &lt; seuil</t>
        </is>
      </c>
      <c r="D10" s="50" t="n"/>
      <c r="E10" s="50" t="n"/>
      <c r="F10" s="50" t="n"/>
      <c r="G10" s="50" t="n"/>
      <c r="H10" s="50" t="n"/>
      <c r="I10" s="50" t="n"/>
      <c r="J10" s="17" t="n"/>
    </row>
    <row r="12" ht="20" customHeight="1">
      <c r="A12" s="15" t="inlineStr">
        <is>
          <t xml:space="preserve">  🖥️  SIMULATION PAR CLUSTER</t>
        </is>
      </c>
    </row>
    <row r="13">
      <c r="A13" s="9" t="inlineStr">
        <is>
          <t>✅  Clusters extraits automatiquement de tHosts. Saisir le nombre de VMs à ajouter dans la colonne jaune 'VMs à ajouter'.</t>
        </is>
      </c>
    </row>
    <row r="14" ht="44" customHeight="1">
      <c r="A14" s="52" t="inlineStr">
        <is>
          <t>Cluster
(auto)</t>
        </is>
      </c>
      <c r="B14" s="52" t="inlineStr">
        <is>
          <t>Hosts</t>
        </is>
      </c>
      <c r="C14" s="52" t="inlineStr">
        <is>
          <t>Total
CPUs</t>
        </is>
      </c>
      <c r="D14" s="52" t="inlineStr">
        <is>
          <t>CPU Cons.
(%)</t>
        </is>
      </c>
      <c r="E14" s="52" t="inlineStr">
        <is>
          <t>CPU Libre
(%)</t>
        </is>
      </c>
      <c r="F14" s="52" t="inlineStr">
        <is>
          <t>Cœurs
libres</t>
        </is>
      </c>
      <c r="G14" s="52" t="inlineStr">
        <is>
          <t>RAM Tot.
(GB)</t>
        </is>
      </c>
      <c r="H14" s="52" t="inlineStr">
        <is>
          <t>RAM Cons.
(GB)</t>
        </is>
      </c>
      <c r="I14" s="52" t="inlineStr">
        <is>
          <t>RAM Libre
(%)</t>
        </is>
      </c>
      <c r="J14" s="52" t="inlineStr">
        <is>
          <t>VMs act.</t>
        </is>
      </c>
      <c r="K14" s="52" t="inlineStr">
        <is>
          <t>Prov.Stg
(GB)</t>
        </is>
      </c>
      <c r="L14" s="52" t="inlineStr">
        <is>
          <t>Used Stg
(GB)</t>
        </is>
      </c>
      <c r="M14" s="53" t="inlineStr">
        <is>
          <t>➕ VMs à
ajouter</t>
        </is>
      </c>
      <c r="N14" s="53" t="inlineStr">
        <is>
          <t>vCPUs +</t>
        </is>
      </c>
      <c r="O14" s="53" t="inlineStr">
        <is>
          <t>RAM +
(GB)</t>
        </is>
      </c>
      <c r="P14" s="53" t="inlineStr">
        <is>
          <t>Stg +
(GB)</t>
        </is>
      </c>
      <c r="Q14" s="54" t="inlineStr">
        <is>
          <t>CPU Libre
après(%)</t>
        </is>
      </c>
      <c r="R14" s="54" t="inlineStr">
        <is>
          <t>Statut
CPU</t>
        </is>
      </c>
      <c r="S14" s="54" t="inlineStr">
        <is>
          <t>RAM Libre
après(%)</t>
        </is>
      </c>
      <c r="T14" s="54" t="inlineStr">
        <is>
          <t>Statut
RAM</t>
        </is>
      </c>
      <c r="U14" s="54" t="inlineStr">
        <is>
          <t>Max VMs
possibles</t>
        </is>
      </c>
      <c r="V14" s="54" t="inlineStr">
        <is>
          <t>Capacité
requise(GB)</t>
        </is>
      </c>
    </row>
    <row r="15" ht="22" customHeight="1">
      <c r="A15" s="55">
        <f>IFERROR(INDEX(tHosts[Cluster],MATCH(0,COUNTIF($A$15,tHosts[Cluster]),0)),"")</f>
        <v/>
      </c>
      <c r="B15" s="56">
        <f>IF(A15="","",COUNTIF(tHosts[Cluster],A15))</f>
        <v/>
      </c>
      <c r="C15" s="56">
        <f>IF(A15="","",SUMIF(tHosts[Cluster],A15,tHosts[CPUs]))</f>
        <v/>
      </c>
      <c r="D15" s="57">
        <f>IF(A15="","",IFERROR(AVERAGEIF(tHosts[Cluster],A15,tHosts[Consumed CPU %])/100,0))</f>
        <v/>
      </c>
      <c r="E15" s="57">
        <f>IF(A15="","",IFERROR(1-D15,0))</f>
        <v/>
      </c>
      <c r="F15" s="56">
        <f>IF(A15="","",ROUND(SUMPRODUCT((tHosts[Cluster]=A15)*tHosts[CPUs]*(100-tHosts[Consumed CPU %])/100),0))</f>
        <v/>
      </c>
      <c r="G15" s="56">
        <f>IF(A15="","",ROUND(SUMIF(tHosts[Cluster],A15,tHosts[Memory Size (MB)])/1024,0))</f>
        <v/>
      </c>
      <c r="H15" s="56">
        <f>IF(A15="","",ROUND(SUMPRODUCT((tHosts[Cluster]=A15)*tHosts[Memory Size (MB)]*tHosts[Consumed Memory %]/100)/1024,0))</f>
        <v/>
      </c>
      <c r="I15" s="57">
        <f>IF(A15="","",IFERROR(1-H15/G15,0))</f>
        <v/>
      </c>
      <c r="J15" s="56">
        <f>IF(A15="","",COUNTIF(tVMs[Cluster],A15))</f>
        <v/>
      </c>
      <c r="K15" s="56">
        <f>IF(A15="","",IFERROR(SUMIF(tVMs[Cluster],A15,tVMs[Provisioned Space]),0))</f>
        <v/>
      </c>
      <c r="L15" s="56">
        <f>IF(A15="","",IFERROR(SUMIF(tVMs[Cluster],A15,tVMs[Used Space]),0))</f>
        <v/>
      </c>
      <c r="M15" s="58" t="n">
        <v>0</v>
      </c>
      <c r="N15" s="59">
        <f>IF(OR(A15="",M15="",M15=0),"",M15*$B$5)</f>
        <v/>
      </c>
      <c r="O15" s="60">
        <f>IF(OR(A15="",M15="",M15=0),"",ROUND(M15*$B$6/1024,1))</f>
        <v/>
      </c>
      <c r="P15" s="59">
        <f>IF(OR(A15="",M15="",M15=0),"",M15*$B$8)</f>
        <v/>
      </c>
      <c r="Q15" s="61">
        <f>IF(OR(A15="",M15="",M15=0),"",IFERROR((F15-N15*$B$5*$B$7/100)/C15,0))</f>
        <v/>
      </c>
      <c r="R15" s="62">
        <f>IF(Q15="","",IF(Q15&lt;$B$9/100,"🔴 Critique",IF(Q15&lt;($B$9+5)/100,"⚠️ Warning","✅ OK")))</f>
        <v/>
      </c>
      <c r="S15" s="61">
        <f>IF(OR(A15="",M15="",M15=0),"",IFERROR((G15-(H15+O15))/G15,0))</f>
        <v/>
      </c>
      <c r="T15" s="62">
        <f>IF(S15="","",IF(S15&lt;$B$10/100,"🔴 Critique",IF(S15&lt;($B$10+5)/100,"⚠️ Warning","✅ OK")))</f>
        <v/>
      </c>
      <c r="U15" s="63">
        <f>IF(A15="","",IFERROR(MAX(0,FLOOR(MIN((F15-$B$9/100*C15)/($B$5*$B$7/100),(G15*(1-$B$10/100)-H15)/($B$6/1024)),1)),""))</f>
        <v/>
      </c>
      <c r="V15" s="63">
        <f>IF(OR(A15="",M15="",M15=0),"",M15*$B$8)</f>
        <v/>
      </c>
    </row>
    <row r="16" ht="22" customHeight="1">
      <c r="A16" s="55">
        <f>IFERROR(INDEX(tHosts[Cluster],MATCH(0,COUNTIF($A$15:$A$15,tHosts[Cluster]),0)),"")</f>
        <v/>
      </c>
      <c r="B16" s="64">
        <f>IF(A16="","",COUNTIF(tHosts[Cluster],A16))</f>
        <v/>
      </c>
      <c r="C16" s="64">
        <f>IF(A16="","",SUMIF(tHosts[Cluster],A16,tHosts[CPUs]))</f>
        <v/>
      </c>
      <c r="D16" s="65">
        <f>IF(A16="","",IFERROR(AVERAGEIF(tHosts[Cluster],A16,tHosts[Consumed CPU %])/100,0))</f>
        <v/>
      </c>
      <c r="E16" s="65">
        <f>IF(A16="","",IFERROR(1-D16,0))</f>
        <v/>
      </c>
      <c r="F16" s="64">
        <f>IF(A16="","",ROUND(SUMPRODUCT((tHosts[Cluster]=A16)*tHosts[CPUs]*(100-tHosts[Consumed CPU %])/100),0))</f>
        <v/>
      </c>
      <c r="G16" s="64">
        <f>IF(A16="","",ROUND(SUMIF(tHosts[Cluster],A16,tHosts[Memory Size (MB)])/1024,0))</f>
        <v/>
      </c>
      <c r="H16" s="64">
        <f>IF(A16="","",ROUND(SUMPRODUCT((tHosts[Cluster]=A16)*tHosts[Memory Size (MB)]*tHosts[Consumed Memory %]/100)/1024,0))</f>
        <v/>
      </c>
      <c r="I16" s="65">
        <f>IF(A16="","",IFERROR(1-H16/G16,0))</f>
        <v/>
      </c>
      <c r="J16" s="64">
        <f>IF(A16="","",COUNTIF(tVMs[Cluster],A16))</f>
        <v/>
      </c>
      <c r="K16" s="64">
        <f>IF(A16="","",IFERROR(SUMIF(tVMs[Cluster],A16,tVMs[Provisioned Space]),0))</f>
        <v/>
      </c>
      <c r="L16" s="64">
        <f>IF(A16="","",IFERROR(SUMIF(tVMs[Cluster],A16,tVMs[Used Space]),0))</f>
        <v/>
      </c>
      <c r="M16" s="58" t="inlineStr"/>
      <c r="N16" s="59">
        <f>IF(OR(A16="",M16="",M16=0),"",M16*$B$5)</f>
        <v/>
      </c>
      <c r="O16" s="60">
        <f>IF(OR(A16="",M16="",M16=0),"",ROUND(M16*$B$6/1024,1))</f>
        <v/>
      </c>
      <c r="P16" s="59">
        <f>IF(OR(A16="",M16="",M16=0),"",M16*$B$8)</f>
        <v/>
      </c>
      <c r="Q16" s="61">
        <f>IF(OR(A16="",M16="",M16=0),"",IFERROR((F16-N16*$B$5*$B$7/100)/C16,0))</f>
        <v/>
      </c>
      <c r="R16" s="62">
        <f>IF(Q16="","",IF(Q16&lt;$B$9/100,"🔴 Critique",IF(Q16&lt;($B$9+5)/100,"⚠️ Warning","✅ OK")))</f>
        <v/>
      </c>
      <c r="S16" s="61">
        <f>IF(OR(A16="",M16="",M16=0),"",IFERROR((G16-(H16+O16))/G16,0))</f>
        <v/>
      </c>
      <c r="T16" s="62">
        <f>IF(S16="","",IF(S16&lt;$B$10/100,"🔴 Critique",IF(S16&lt;($B$10+5)/100,"⚠️ Warning","✅ OK")))</f>
        <v/>
      </c>
      <c r="U16" s="63">
        <f>IF(A16="","",IFERROR(MAX(0,FLOOR(MIN((F16-$B$9/100*C16)/($B$5*$B$7/100),(G16*(1-$B$10/100)-H16)/($B$6/1024)),1)),""))</f>
        <v/>
      </c>
      <c r="V16" s="63">
        <f>IF(OR(A16="",M16="",M16=0),"",M16*$B$8)</f>
        <v/>
      </c>
    </row>
    <row r="17" ht="22" customHeight="1">
      <c r="A17" s="55">
        <f>IFERROR(INDEX(tHosts[Cluster],MATCH(0,COUNTIF($A$15:$A$16,tHosts[Cluster]),0)),"")</f>
        <v/>
      </c>
      <c r="B17" s="56">
        <f>IF(A17="","",COUNTIF(tHosts[Cluster],A17))</f>
        <v/>
      </c>
      <c r="C17" s="56">
        <f>IF(A17="","",SUMIF(tHosts[Cluster],A17,tHosts[CPUs]))</f>
        <v/>
      </c>
      <c r="D17" s="57">
        <f>IF(A17="","",IFERROR(AVERAGEIF(tHosts[Cluster],A17,tHosts[Consumed CPU %])/100,0))</f>
        <v/>
      </c>
      <c r="E17" s="57">
        <f>IF(A17="","",IFERROR(1-D17,0))</f>
        <v/>
      </c>
      <c r="F17" s="56">
        <f>IF(A17="","",ROUND(SUMPRODUCT((tHosts[Cluster]=A17)*tHosts[CPUs]*(100-tHosts[Consumed CPU %])/100),0))</f>
        <v/>
      </c>
      <c r="G17" s="56">
        <f>IF(A17="","",ROUND(SUMIF(tHosts[Cluster],A17,tHosts[Memory Size (MB)])/1024,0))</f>
        <v/>
      </c>
      <c r="H17" s="56">
        <f>IF(A17="","",ROUND(SUMPRODUCT((tHosts[Cluster]=A17)*tHosts[Memory Size (MB)]*tHosts[Consumed Memory %]/100)/1024,0))</f>
        <v/>
      </c>
      <c r="I17" s="57">
        <f>IF(A17="","",IFERROR(1-H17/G17,0))</f>
        <v/>
      </c>
      <c r="J17" s="56">
        <f>IF(A17="","",COUNTIF(tVMs[Cluster],A17))</f>
        <v/>
      </c>
      <c r="K17" s="56">
        <f>IF(A17="","",IFERROR(SUMIF(tVMs[Cluster],A17,tVMs[Provisioned Space]),0))</f>
        <v/>
      </c>
      <c r="L17" s="56">
        <f>IF(A17="","",IFERROR(SUMIF(tVMs[Cluster],A17,tVMs[Used Space]),0))</f>
        <v/>
      </c>
      <c r="M17" s="58" t="inlineStr"/>
      <c r="N17" s="59">
        <f>IF(OR(A17="",M17="",M17=0),"",M17*$B$5)</f>
        <v/>
      </c>
      <c r="O17" s="60">
        <f>IF(OR(A17="",M17="",M17=0),"",ROUND(M17*$B$6/1024,1))</f>
        <v/>
      </c>
      <c r="P17" s="59">
        <f>IF(OR(A17="",M17="",M17=0),"",M17*$B$8)</f>
        <v/>
      </c>
      <c r="Q17" s="61">
        <f>IF(OR(A17="",M17="",M17=0),"",IFERROR((F17-N17*$B$5*$B$7/100)/C17,0))</f>
        <v/>
      </c>
      <c r="R17" s="62">
        <f>IF(Q17="","",IF(Q17&lt;$B$9/100,"🔴 Critique",IF(Q17&lt;($B$9+5)/100,"⚠️ Warning","✅ OK")))</f>
        <v/>
      </c>
      <c r="S17" s="61">
        <f>IF(OR(A17="",M17="",M17=0),"",IFERROR((G17-(H17+O17))/G17,0))</f>
        <v/>
      </c>
      <c r="T17" s="62">
        <f>IF(S17="","",IF(S17&lt;$B$10/100,"🔴 Critique",IF(S17&lt;($B$10+5)/100,"⚠️ Warning","✅ OK")))</f>
        <v/>
      </c>
      <c r="U17" s="63">
        <f>IF(A17="","",IFERROR(MAX(0,FLOOR(MIN((F17-$B$9/100*C17)/($B$5*$B$7/100),(G17*(1-$B$10/100)-H17)/($B$6/1024)),1)),""))</f>
        <v/>
      </c>
      <c r="V17" s="63">
        <f>IF(OR(A17="",M17="",M17=0),"",M17*$B$8)</f>
        <v/>
      </c>
    </row>
    <row r="18" ht="22" customHeight="1">
      <c r="A18" s="55">
        <f>IFERROR(INDEX(tHosts[Cluster],MATCH(0,COUNTIF($A$15:$A$17,tHosts[Cluster]),0)),"")</f>
        <v/>
      </c>
      <c r="B18" s="64">
        <f>IF(A18="","",COUNTIF(tHosts[Cluster],A18))</f>
        <v/>
      </c>
      <c r="C18" s="64">
        <f>IF(A18="","",SUMIF(tHosts[Cluster],A18,tHosts[CPUs]))</f>
        <v/>
      </c>
      <c r="D18" s="65">
        <f>IF(A18="","",IFERROR(AVERAGEIF(tHosts[Cluster],A18,tHosts[Consumed CPU %])/100,0))</f>
        <v/>
      </c>
      <c r="E18" s="65">
        <f>IF(A18="","",IFERROR(1-D18,0))</f>
        <v/>
      </c>
      <c r="F18" s="64">
        <f>IF(A18="","",ROUND(SUMPRODUCT((tHosts[Cluster]=A18)*tHosts[CPUs]*(100-tHosts[Consumed CPU %])/100),0))</f>
        <v/>
      </c>
      <c r="G18" s="64">
        <f>IF(A18="","",ROUND(SUMIF(tHosts[Cluster],A18,tHosts[Memory Size (MB)])/1024,0))</f>
        <v/>
      </c>
      <c r="H18" s="64">
        <f>IF(A18="","",ROUND(SUMPRODUCT((tHosts[Cluster]=A18)*tHosts[Memory Size (MB)]*tHosts[Consumed Memory %]/100)/1024,0))</f>
        <v/>
      </c>
      <c r="I18" s="65">
        <f>IF(A18="","",IFERROR(1-H18/G18,0))</f>
        <v/>
      </c>
      <c r="J18" s="64">
        <f>IF(A18="","",COUNTIF(tVMs[Cluster],A18))</f>
        <v/>
      </c>
      <c r="K18" s="64">
        <f>IF(A18="","",IFERROR(SUMIF(tVMs[Cluster],A18,tVMs[Provisioned Space]),0))</f>
        <v/>
      </c>
      <c r="L18" s="64">
        <f>IF(A18="","",IFERROR(SUMIF(tVMs[Cluster],A18,tVMs[Used Space]),0))</f>
        <v/>
      </c>
      <c r="M18" s="58" t="inlineStr"/>
      <c r="N18" s="59">
        <f>IF(OR(A18="",M18="",M18=0),"",M18*$B$5)</f>
        <v/>
      </c>
      <c r="O18" s="60">
        <f>IF(OR(A18="",M18="",M18=0),"",ROUND(M18*$B$6/1024,1))</f>
        <v/>
      </c>
      <c r="P18" s="59">
        <f>IF(OR(A18="",M18="",M18=0),"",M18*$B$8)</f>
        <v/>
      </c>
      <c r="Q18" s="61">
        <f>IF(OR(A18="",M18="",M18=0),"",IFERROR((F18-N18*$B$5*$B$7/100)/C18,0))</f>
        <v/>
      </c>
      <c r="R18" s="62">
        <f>IF(Q18="","",IF(Q18&lt;$B$9/100,"🔴 Critique",IF(Q18&lt;($B$9+5)/100,"⚠️ Warning","✅ OK")))</f>
        <v/>
      </c>
      <c r="S18" s="61">
        <f>IF(OR(A18="",M18="",M18=0),"",IFERROR((G18-(H18+O18))/G18,0))</f>
        <v/>
      </c>
      <c r="T18" s="62">
        <f>IF(S18="","",IF(S18&lt;$B$10/100,"🔴 Critique",IF(S18&lt;($B$10+5)/100,"⚠️ Warning","✅ OK")))</f>
        <v/>
      </c>
      <c r="U18" s="63">
        <f>IF(A18="","",IFERROR(MAX(0,FLOOR(MIN((F18-$B$9/100*C18)/($B$5*$B$7/100),(G18*(1-$B$10/100)-H18)/($B$6/1024)),1)),""))</f>
        <v/>
      </c>
      <c r="V18" s="63">
        <f>IF(OR(A18="",M18="",M18=0),"",M18*$B$8)</f>
        <v/>
      </c>
    </row>
    <row r="19" ht="22" customHeight="1">
      <c r="A19" s="55">
        <f>IFERROR(INDEX(tHosts[Cluster],MATCH(0,COUNTIF($A$15:$A$18,tHosts[Cluster]),0)),"")</f>
        <v/>
      </c>
      <c r="B19" s="56">
        <f>IF(A19="","",COUNTIF(tHosts[Cluster],A19))</f>
        <v/>
      </c>
      <c r="C19" s="56">
        <f>IF(A19="","",SUMIF(tHosts[Cluster],A19,tHosts[CPUs]))</f>
        <v/>
      </c>
      <c r="D19" s="57">
        <f>IF(A19="","",IFERROR(AVERAGEIF(tHosts[Cluster],A19,tHosts[Consumed CPU %])/100,0))</f>
        <v/>
      </c>
      <c r="E19" s="57">
        <f>IF(A19="","",IFERROR(1-D19,0))</f>
        <v/>
      </c>
      <c r="F19" s="56">
        <f>IF(A19="","",ROUND(SUMPRODUCT((tHosts[Cluster]=A19)*tHosts[CPUs]*(100-tHosts[Consumed CPU %])/100),0))</f>
        <v/>
      </c>
      <c r="G19" s="56">
        <f>IF(A19="","",ROUND(SUMIF(tHosts[Cluster],A19,tHosts[Memory Size (MB)])/1024,0))</f>
        <v/>
      </c>
      <c r="H19" s="56">
        <f>IF(A19="","",ROUND(SUMPRODUCT((tHosts[Cluster]=A19)*tHosts[Memory Size (MB)]*tHosts[Consumed Memory %]/100)/1024,0))</f>
        <v/>
      </c>
      <c r="I19" s="57">
        <f>IF(A19="","",IFERROR(1-H19/G19,0))</f>
        <v/>
      </c>
      <c r="J19" s="56">
        <f>IF(A19="","",COUNTIF(tVMs[Cluster],A19))</f>
        <v/>
      </c>
      <c r="K19" s="56">
        <f>IF(A19="","",IFERROR(SUMIF(tVMs[Cluster],A19,tVMs[Provisioned Space]),0))</f>
        <v/>
      </c>
      <c r="L19" s="56">
        <f>IF(A19="","",IFERROR(SUMIF(tVMs[Cluster],A19,tVMs[Used Space]),0))</f>
        <v/>
      </c>
      <c r="M19" s="58" t="inlineStr"/>
      <c r="N19" s="59">
        <f>IF(OR(A19="",M19="",M19=0),"",M19*$B$5)</f>
        <v/>
      </c>
      <c r="O19" s="60">
        <f>IF(OR(A19="",M19="",M19=0),"",ROUND(M19*$B$6/1024,1))</f>
        <v/>
      </c>
      <c r="P19" s="59">
        <f>IF(OR(A19="",M19="",M19=0),"",M19*$B$8)</f>
        <v/>
      </c>
      <c r="Q19" s="61">
        <f>IF(OR(A19="",M19="",M19=0),"",IFERROR((F19-N19*$B$5*$B$7/100)/C19,0))</f>
        <v/>
      </c>
      <c r="R19" s="62">
        <f>IF(Q19="","",IF(Q19&lt;$B$9/100,"🔴 Critique",IF(Q19&lt;($B$9+5)/100,"⚠️ Warning","✅ OK")))</f>
        <v/>
      </c>
      <c r="S19" s="61">
        <f>IF(OR(A19="",M19="",M19=0),"",IFERROR((G19-(H19+O19))/G19,0))</f>
        <v/>
      </c>
      <c r="T19" s="62">
        <f>IF(S19="","",IF(S19&lt;$B$10/100,"🔴 Critique",IF(S19&lt;($B$10+5)/100,"⚠️ Warning","✅ OK")))</f>
        <v/>
      </c>
      <c r="U19" s="63">
        <f>IF(A19="","",IFERROR(MAX(0,FLOOR(MIN((F19-$B$9/100*C19)/($B$5*$B$7/100),(G19*(1-$B$10/100)-H19)/($B$6/1024)),1)),""))</f>
        <v/>
      </c>
      <c r="V19" s="63">
        <f>IF(OR(A19="",M19="",M19=0),"",M19*$B$8)</f>
        <v/>
      </c>
    </row>
    <row r="20" ht="22" customHeight="1">
      <c r="A20" s="55">
        <f>IFERROR(INDEX(tHosts[Cluster],MATCH(0,COUNTIF($A$15:$A$19,tHosts[Cluster]),0)),"")</f>
        <v/>
      </c>
      <c r="B20" s="64">
        <f>IF(A20="","",COUNTIF(tHosts[Cluster],A20))</f>
        <v/>
      </c>
      <c r="C20" s="64">
        <f>IF(A20="","",SUMIF(tHosts[Cluster],A20,tHosts[CPUs]))</f>
        <v/>
      </c>
      <c r="D20" s="65">
        <f>IF(A20="","",IFERROR(AVERAGEIF(tHosts[Cluster],A20,tHosts[Consumed CPU %])/100,0))</f>
        <v/>
      </c>
      <c r="E20" s="65">
        <f>IF(A20="","",IFERROR(1-D20,0))</f>
        <v/>
      </c>
      <c r="F20" s="64">
        <f>IF(A20="","",ROUND(SUMPRODUCT((tHosts[Cluster]=A20)*tHosts[CPUs]*(100-tHosts[Consumed CPU %])/100),0))</f>
        <v/>
      </c>
      <c r="G20" s="64">
        <f>IF(A20="","",ROUND(SUMIF(tHosts[Cluster],A20,tHosts[Memory Size (MB)])/1024,0))</f>
        <v/>
      </c>
      <c r="H20" s="64">
        <f>IF(A20="","",ROUND(SUMPRODUCT((tHosts[Cluster]=A20)*tHosts[Memory Size (MB)]*tHosts[Consumed Memory %]/100)/1024,0))</f>
        <v/>
      </c>
      <c r="I20" s="65">
        <f>IF(A20="","",IFERROR(1-H20/G20,0))</f>
        <v/>
      </c>
      <c r="J20" s="64">
        <f>IF(A20="","",COUNTIF(tVMs[Cluster],A20))</f>
        <v/>
      </c>
      <c r="K20" s="64">
        <f>IF(A20="","",IFERROR(SUMIF(tVMs[Cluster],A20,tVMs[Provisioned Space]),0))</f>
        <v/>
      </c>
      <c r="L20" s="64">
        <f>IF(A20="","",IFERROR(SUMIF(tVMs[Cluster],A20,tVMs[Used Space]),0))</f>
        <v/>
      </c>
      <c r="M20" s="58" t="inlineStr"/>
      <c r="N20" s="59">
        <f>IF(OR(A20="",M20="",M20=0),"",M20*$B$5)</f>
        <v/>
      </c>
      <c r="O20" s="60">
        <f>IF(OR(A20="",M20="",M20=0),"",ROUND(M20*$B$6/1024,1))</f>
        <v/>
      </c>
      <c r="P20" s="59">
        <f>IF(OR(A20="",M20="",M20=0),"",M20*$B$8)</f>
        <v/>
      </c>
      <c r="Q20" s="61">
        <f>IF(OR(A20="",M20="",M20=0),"",IFERROR((F20-N20*$B$5*$B$7/100)/C20,0))</f>
        <v/>
      </c>
      <c r="R20" s="62">
        <f>IF(Q20="","",IF(Q20&lt;$B$9/100,"🔴 Critique",IF(Q20&lt;($B$9+5)/100,"⚠️ Warning","✅ OK")))</f>
        <v/>
      </c>
      <c r="S20" s="61">
        <f>IF(OR(A20="",M20="",M20=0),"",IFERROR((G20-(H20+O20))/G20,0))</f>
        <v/>
      </c>
      <c r="T20" s="62">
        <f>IF(S20="","",IF(S20&lt;$B$10/100,"🔴 Critique",IF(S20&lt;($B$10+5)/100,"⚠️ Warning","✅ OK")))</f>
        <v/>
      </c>
      <c r="U20" s="63">
        <f>IF(A20="","",IFERROR(MAX(0,FLOOR(MIN((F20-$B$9/100*C20)/($B$5*$B$7/100),(G20*(1-$B$10/100)-H20)/($B$6/1024)),1)),""))</f>
        <v/>
      </c>
      <c r="V20" s="63">
        <f>IF(OR(A20="",M20="",M20=0),"",M20*$B$8)</f>
        <v/>
      </c>
    </row>
    <row r="21" ht="22" customHeight="1">
      <c r="A21" s="55">
        <f>IFERROR(INDEX(tHosts[Cluster],MATCH(0,COUNTIF($A$15:$A$20,tHosts[Cluster]),0)),"")</f>
        <v/>
      </c>
      <c r="B21" s="56">
        <f>IF(A21="","",COUNTIF(tHosts[Cluster],A21))</f>
        <v/>
      </c>
      <c r="C21" s="56">
        <f>IF(A21="","",SUMIF(tHosts[Cluster],A21,tHosts[CPUs]))</f>
        <v/>
      </c>
      <c r="D21" s="57">
        <f>IF(A21="","",IFERROR(AVERAGEIF(tHosts[Cluster],A21,tHosts[Consumed CPU %])/100,0))</f>
        <v/>
      </c>
      <c r="E21" s="57">
        <f>IF(A21="","",IFERROR(1-D21,0))</f>
        <v/>
      </c>
      <c r="F21" s="56">
        <f>IF(A21="","",ROUND(SUMPRODUCT((tHosts[Cluster]=A21)*tHosts[CPUs]*(100-tHosts[Consumed CPU %])/100),0))</f>
        <v/>
      </c>
      <c r="G21" s="56">
        <f>IF(A21="","",ROUND(SUMIF(tHosts[Cluster],A21,tHosts[Memory Size (MB)])/1024,0))</f>
        <v/>
      </c>
      <c r="H21" s="56">
        <f>IF(A21="","",ROUND(SUMPRODUCT((tHosts[Cluster]=A21)*tHosts[Memory Size (MB)]*tHosts[Consumed Memory %]/100)/1024,0))</f>
        <v/>
      </c>
      <c r="I21" s="57">
        <f>IF(A21="","",IFERROR(1-H21/G21,0))</f>
        <v/>
      </c>
      <c r="J21" s="56">
        <f>IF(A21="","",COUNTIF(tVMs[Cluster],A21))</f>
        <v/>
      </c>
      <c r="K21" s="56">
        <f>IF(A21="","",IFERROR(SUMIF(tVMs[Cluster],A21,tVMs[Provisioned Space]),0))</f>
        <v/>
      </c>
      <c r="L21" s="56">
        <f>IF(A21="","",IFERROR(SUMIF(tVMs[Cluster],A21,tVMs[Used Space]),0))</f>
        <v/>
      </c>
      <c r="M21" s="58" t="inlineStr"/>
      <c r="N21" s="59">
        <f>IF(OR(A21="",M21="",M21=0),"",M21*$B$5)</f>
        <v/>
      </c>
      <c r="O21" s="60">
        <f>IF(OR(A21="",M21="",M21=0),"",ROUND(M21*$B$6/1024,1))</f>
        <v/>
      </c>
      <c r="P21" s="59">
        <f>IF(OR(A21="",M21="",M21=0),"",M21*$B$8)</f>
        <v/>
      </c>
      <c r="Q21" s="61">
        <f>IF(OR(A21="",M21="",M21=0),"",IFERROR((F21-N21*$B$5*$B$7/100)/C21,0))</f>
        <v/>
      </c>
      <c r="R21" s="62">
        <f>IF(Q21="","",IF(Q21&lt;$B$9/100,"🔴 Critique",IF(Q21&lt;($B$9+5)/100,"⚠️ Warning","✅ OK")))</f>
        <v/>
      </c>
      <c r="S21" s="61">
        <f>IF(OR(A21="",M21="",M21=0),"",IFERROR((G21-(H21+O21))/G21,0))</f>
        <v/>
      </c>
      <c r="T21" s="62">
        <f>IF(S21="","",IF(S21&lt;$B$10/100,"🔴 Critique",IF(S21&lt;($B$10+5)/100,"⚠️ Warning","✅ OK")))</f>
        <v/>
      </c>
      <c r="U21" s="63">
        <f>IF(A21="","",IFERROR(MAX(0,FLOOR(MIN((F21-$B$9/100*C21)/($B$5*$B$7/100),(G21*(1-$B$10/100)-H21)/($B$6/1024)),1)),""))</f>
        <v/>
      </c>
      <c r="V21" s="63">
        <f>IF(OR(A21="",M21="",M21=0),"",M21*$B$8)</f>
        <v/>
      </c>
    </row>
    <row r="22" ht="22" customHeight="1">
      <c r="A22" s="55">
        <f>IFERROR(INDEX(tHosts[Cluster],MATCH(0,COUNTIF($A$15:$A$21,tHosts[Cluster]),0)),"")</f>
        <v/>
      </c>
      <c r="B22" s="64">
        <f>IF(A22="","",COUNTIF(tHosts[Cluster],A22))</f>
        <v/>
      </c>
      <c r="C22" s="64">
        <f>IF(A22="","",SUMIF(tHosts[Cluster],A22,tHosts[CPUs]))</f>
        <v/>
      </c>
      <c r="D22" s="65">
        <f>IF(A22="","",IFERROR(AVERAGEIF(tHosts[Cluster],A22,tHosts[Consumed CPU %])/100,0))</f>
        <v/>
      </c>
      <c r="E22" s="65">
        <f>IF(A22="","",IFERROR(1-D22,0))</f>
        <v/>
      </c>
      <c r="F22" s="64">
        <f>IF(A22="","",ROUND(SUMPRODUCT((tHosts[Cluster]=A22)*tHosts[CPUs]*(100-tHosts[Consumed CPU %])/100),0))</f>
        <v/>
      </c>
      <c r="G22" s="64">
        <f>IF(A22="","",ROUND(SUMIF(tHosts[Cluster],A22,tHosts[Memory Size (MB)])/1024,0))</f>
        <v/>
      </c>
      <c r="H22" s="64">
        <f>IF(A22="","",ROUND(SUMPRODUCT((tHosts[Cluster]=A22)*tHosts[Memory Size (MB)]*tHosts[Consumed Memory %]/100)/1024,0))</f>
        <v/>
      </c>
      <c r="I22" s="65">
        <f>IF(A22="","",IFERROR(1-H22/G22,0))</f>
        <v/>
      </c>
      <c r="J22" s="64">
        <f>IF(A22="","",COUNTIF(tVMs[Cluster],A22))</f>
        <v/>
      </c>
      <c r="K22" s="64">
        <f>IF(A22="","",IFERROR(SUMIF(tVMs[Cluster],A22,tVMs[Provisioned Space]),0))</f>
        <v/>
      </c>
      <c r="L22" s="64">
        <f>IF(A22="","",IFERROR(SUMIF(tVMs[Cluster],A22,tVMs[Used Space]),0))</f>
        <v/>
      </c>
      <c r="M22" s="58" t="inlineStr"/>
      <c r="N22" s="59">
        <f>IF(OR(A22="",M22="",M22=0),"",M22*$B$5)</f>
        <v/>
      </c>
      <c r="O22" s="60">
        <f>IF(OR(A22="",M22="",M22=0),"",ROUND(M22*$B$6/1024,1))</f>
        <v/>
      </c>
      <c r="P22" s="59">
        <f>IF(OR(A22="",M22="",M22=0),"",M22*$B$8)</f>
        <v/>
      </c>
      <c r="Q22" s="61">
        <f>IF(OR(A22="",M22="",M22=0),"",IFERROR((F22-N22*$B$5*$B$7/100)/C22,0))</f>
        <v/>
      </c>
      <c r="R22" s="62">
        <f>IF(Q22="","",IF(Q22&lt;$B$9/100,"🔴 Critique",IF(Q22&lt;($B$9+5)/100,"⚠️ Warning","✅ OK")))</f>
        <v/>
      </c>
      <c r="S22" s="61">
        <f>IF(OR(A22="",M22="",M22=0),"",IFERROR((G22-(H22+O22))/G22,0))</f>
        <v/>
      </c>
      <c r="T22" s="62">
        <f>IF(S22="","",IF(S22&lt;$B$10/100,"🔴 Critique",IF(S22&lt;($B$10+5)/100,"⚠️ Warning","✅ OK")))</f>
        <v/>
      </c>
      <c r="U22" s="63">
        <f>IF(A22="","",IFERROR(MAX(0,FLOOR(MIN((F22-$B$9/100*C22)/($B$5*$B$7/100),(G22*(1-$B$10/100)-H22)/($B$6/1024)),1)),""))</f>
        <v/>
      </c>
      <c r="V22" s="63">
        <f>IF(OR(A22="",M22="",M22=0),"",M22*$B$8)</f>
        <v/>
      </c>
    </row>
    <row r="23" ht="22" customHeight="1">
      <c r="A23" s="55">
        <f>IFERROR(INDEX(tHosts[Cluster],MATCH(0,COUNTIF($A$15:$A$22,tHosts[Cluster]),0)),"")</f>
        <v/>
      </c>
      <c r="B23" s="56">
        <f>IF(A23="","",COUNTIF(tHosts[Cluster],A23))</f>
        <v/>
      </c>
      <c r="C23" s="56">
        <f>IF(A23="","",SUMIF(tHosts[Cluster],A23,tHosts[CPUs]))</f>
        <v/>
      </c>
      <c r="D23" s="57">
        <f>IF(A23="","",IFERROR(AVERAGEIF(tHosts[Cluster],A23,tHosts[Consumed CPU %])/100,0))</f>
        <v/>
      </c>
      <c r="E23" s="57">
        <f>IF(A23="","",IFERROR(1-D23,0))</f>
        <v/>
      </c>
      <c r="F23" s="56">
        <f>IF(A23="","",ROUND(SUMPRODUCT((tHosts[Cluster]=A23)*tHosts[CPUs]*(100-tHosts[Consumed CPU %])/100),0))</f>
        <v/>
      </c>
      <c r="G23" s="56">
        <f>IF(A23="","",ROUND(SUMIF(tHosts[Cluster],A23,tHosts[Memory Size (MB)])/1024,0))</f>
        <v/>
      </c>
      <c r="H23" s="56">
        <f>IF(A23="","",ROUND(SUMPRODUCT((tHosts[Cluster]=A23)*tHosts[Memory Size (MB)]*tHosts[Consumed Memory %]/100)/1024,0))</f>
        <v/>
      </c>
      <c r="I23" s="57">
        <f>IF(A23="","",IFERROR(1-H23/G23,0))</f>
        <v/>
      </c>
      <c r="J23" s="56">
        <f>IF(A23="","",COUNTIF(tVMs[Cluster],A23))</f>
        <v/>
      </c>
      <c r="K23" s="56">
        <f>IF(A23="","",IFERROR(SUMIF(tVMs[Cluster],A23,tVMs[Provisioned Space]),0))</f>
        <v/>
      </c>
      <c r="L23" s="56">
        <f>IF(A23="","",IFERROR(SUMIF(tVMs[Cluster],A23,tVMs[Used Space]),0))</f>
        <v/>
      </c>
      <c r="M23" s="58" t="inlineStr"/>
      <c r="N23" s="59">
        <f>IF(OR(A23="",M23="",M23=0),"",M23*$B$5)</f>
        <v/>
      </c>
      <c r="O23" s="60">
        <f>IF(OR(A23="",M23="",M23=0),"",ROUND(M23*$B$6/1024,1))</f>
        <v/>
      </c>
      <c r="P23" s="59">
        <f>IF(OR(A23="",M23="",M23=0),"",M23*$B$8)</f>
        <v/>
      </c>
      <c r="Q23" s="61">
        <f>IF(OR(A23="",M23="",M23=0),"",IFERROR((F23-N23*$B$5*$B$7/100)/C23,0))</f>
        <v/>
      </c>
      <c r="R23" s="62">
        <f>IF(Q23="","",IF(Q23&lt;$B$9/100,"🔴 Critique",IF(Q23&lt;($B$9+5)/100,"⚠️ Warning","✅ OK")))</f>
        <v/>
      </c>
      <c r="S23" s="61">
        <f>IF(OR(A23="",M23="",M23=0),"",IFERROR((G23-(H23+O23))/G23,0))</f>
        <v/>
      </c>
      <c r="T23" s="62">
        <f>IF(S23="","",IF(S23&lt;$B$10/100,"🔴 Critique",IF(S23&lt;($B$10+5)/100,"⚠️ Warning","✅ OK")))</f>
        <v/>
      </c>
      <c r="U23" s="63">
        <f>IF(A23="","",IFERROR(MAX(0,FLOOR(MIN((F23-$B$9/100*C23)/($B$5*$B$7/100),(G23*(1-$B$10/100)-H23)/($B$6/1024)),1)),""))</f>
        <v/>
      </c>
      <c r="V23" s="63">
        <f>IF(OR(A23="",M23="",M23=0),"",M23*$B$8)</f>
        <v/>
      </c>
    </row>
    <row r="24" ht="22" customHeight="1">
      <c r="A24" s="55">
        <f>IFERROR(INDEX(tHosts[Cluster],MATCH(0,COUNTIF($A$15:$A$23,tHosts[Cluster]),0)),"")</f>
        <v/>
      </c>
      <c r="B24" s="64">
        <f>IF(A24="","",COUNTIF(tHosts[Cluster],A24))</f>
        <v/>
      </c>
      <c r="C24" s="64">
        <f>IF(A24="","",SUMIF(tHosts[Cluster],A24,tHosts[CPUs]))</f>
        <v/>
      </c>
      <c r="D24" s="65">
        <f>IF(A24="","",IFERROR(AVERAGEIF(tHosts[Cluster],A24,tHosts[Consumed CPU %])/100,0))</f>
        <v/>
      </c>
      <c r="E24" s="65">
        <f>IF(A24="","",IFERROR(1-D24,0))</f>
        <v/>
      </c>
      <c r="F24" s="64">
        <f>IF(A24="","",ROUND(SUMPRODUCT((tHosts[Cluster]=A24)*tHosts[CPUs]*(100-tHosts[Consumed CPU %])/100),0))</f>
        <v/>
      </c>
      <c r="G24" s="64">
        <f>IF(A24="","",ROUND(SUMIF(tHosts[Cluster],A24,tHosts[Memory Size (MB)])/1024,0))</f>
        <v/>
      </c>
      <c r="H24" s="64">
        <f>IF(A24="","",ROUND(SUMPRODUCT((tHosts[Cluster]=A24)*tHosts[Memory Size (MB)]*tHosts[Consumed Memory %]/100)/1024,0))</f>
        <v/>
      </c>
      <c r="I24" s="65">
        <f>IF(A24="","",IFERROR(1-H24/G24,0))</f>
        <v/>
      </c>
      <c r="J24" s="64">
        <f>IF(A24="","",COUNTIF(tVMs[Cluster],A24))</f>
        <v/>
      </c>
      <c r="K24" s="64">
        <f>IF(A24="","",IFERROR(SUMIF(tVMs[Cluster],A24,tVMs[Provisioned Space]),0))</f>
        <v/>
      </c>
      <c r="L24" s="64">
        <f>IF(A24="","",IFERROR(SUMIF(tVMs[Cluster],A24,tVMs[Used Space]),0))</f>
        <v/>
      </c>
      <c r="M24" s="58" t="inlineStr"/>
      <c r="N24" s="59">
        <f>IF(OR(A24="",M24="",M24=0),"",M24*$B$5)</f>
        <v/>
      </c>
      <c r="O24" s="60">
        <f>IF(OR(A24="",M24="",M24=0),"",ROUND(M24*$B$6/1024,1))</f>
        <v/>
      </c>
      <c r="P24" s="59">
        <f>IF(OR(A24="",M24="",M24=0),"",M24*$B$8)</f>
        <v/>
      </c>
      <c r="Q24" s="61">
        <f>IF(OR(A24="",M24="",M24=0),"",IFERROR((F24-N24*$B$5*$B$7/100)/C24,0))</f>
        <v/>
      </c>
      <c r="R24" s="62">
        <f>IF(Q24="","",IF(Q24&lt;$B$9/100,"🔴 Critique",IF(Q24&lt;($B$9+5)/100,"⚠️ Warning","✅ OK")))</f>
        <v/>
      </c>
      <c r="S24" s="61">
        <f>IF(OR(A24="",M24="",M24=0),"",IFERROR((G24-(H24+O24))/G24,0))</f>
        <v/>
      </c>
      <c r="T24" s="62">
        <f>IF(S24="","",IF(S24&lt;$B$10/100,"🔴 Critique",IF(S24&lt;($B$10+5)/100,"⚠️ Warning","✅ OK")))</f>
        <v/>
      </c>
      <c r="U24" s="63">
        <f>IF(A24="","",IFERROR(MAX(0,FLOOR(MIN((F24-$B$9/100*C24)/($B$5*$B$7/100),(G24*(1-$B$10/100)-H24)/($B$6/1024)),1)),""))</f>
        <v/>
      </c>
      <c r="V24" s="63">
        <f>IF(OR(A24="",M24="",M24=0),"",M24*$B$8)</f>
        <v/>
      </c>
    </row>
    <row r="25" ht="22" customHeight="1">
      <c r="A25" s="55">
        <f>IFERROR(INDEX(tHosts[Cluster],MATCH(0,COUNTIF($A$15:$A$24,tHosts[Cluster]),0)),"")</f>
        <v/>
      </c>
      <c r="B25" s="56">
        <f>IF(A25="","",COUNTIF(tHosts[Cluster],A25))</f>
        <v/>
      </c>
      <c r="C25" s="56">
        <f>IF(A25="","",SUMIF(tHosts[Cluster],A25,tHosts[CPUs]))</f>
        <v/>
      </c>
      <c r="D25" s="57">
        <f>IF(A25="","",IFERROR(AVERAGEIF(tHosts[Cluster],A25,tHosts[Consumed CPU %])/100,0))</f>
        <v/>
      </c>
      <c r="E25" s="57">
        <f>IF(A25="","",IFERROR(1-D25,0))</f>
        <v/>
      </c>
      <c r="F25" s="56">
        <f>IF(A25="","",ROUND(SUMPRODUCT((tHosts[Cluster]=A25)*tHosts[CPUs]*(100-tHosts[Consumed CPU %])/100),0))</f>
        <v/>
      </c>
      <c r="G25" s="56">
        <f>IF(A25="","",ROUND(SUMIF(tHosts[Cluster],A25,tHosts[Memory Size (MB)])/1024,0))</f>
        <v/>
      </c>
      <c r="H25" s="56">
        <f>IF(A25="","",ROUND(SUMPRODUCT((tHosts[Cluster]=A25)*tHosts[Memory Size (MB)]*tHosts[Consumed Memory %]/100)/1024,0))</f>
        <v/>
      </c>
      <c r="I25" s="57">
        <f>IF(A25="","",IFERROR(1-H25/G25,0))</f>
        <v/>
      </c>
      <c r="J25" s="56">
        <f>IF(A25="","",COUNTIF(tVMs[Cluster],A25))</f>
        <v/>
      </c>
      <c r="K25" s="56">
        <f>IF(A25="","",IFERROR(SUMIF(tVMs[Cluster],A25,tVMs[Provisioned Space]),0))</f>
        <v/>
      </c>
      <c r="L25" s="56">
        <f>IF(A25="","",IFERROR(SUMIF(tVMs[Cluster],A25,tVMs[Used Space]),0))</f>
        <v/>
      </c>
      <c r="M25" s="58" t="inlineStr"/>
      <c r="N25" s="59">
        <f>IF(OR(A25="",M25="",M25=0),"",M25*$B$5)</f>
        <v/>
      </c>
      <c r="O25" s="60">
        <f>IF(OR(A25="",M25="",M25=0),"",ROUND(M25*$B$6/1024,1))</f>
        <v/>
      </c>
      <c r="P25" s="59">
        <f>IF(OR(A25="",M25="",M25=0),"",M25*$B$8)</f>
        <v/>
      </c>
      <c r="Q25" s="61">
        <f>IF(OR(A25="",M25="",M25=0),"",IFERROR((F25-N25*$B$5*$B$7/100)/C25,0))</f>
        <v/>
      </c>
      <c r="R25" s="62">
        <f>IF(Q25="","",IF(Q25&lt;$B$9/100,"🔴 Critique",IF(Q25&lt;($B$9+5)/100,"⚠️ Warning","✅ OK")))</f>
        <v/>
      </c>
      <c r="S25" s="61">
        <f>IF(OR(A25="",M25="",M25=0),"",IFERROR((G25-(H25+O25))/G25,0))</f>
        <v/>
      </c>
      <c r="T25" s="62">
        <f>IF(S25="","",IF(S25&lt;$B$10/100,"🔴 Critique",IF(S25&lt;($B$10+5)/100,"⚠️ Warning","✅ OK")))</f>
        <v/>
      </c>
      <c r="U25" s="63">
        <f>IF(A25="","",IFERROR(MAX(0,FLOOR(MIN((F25-$B$9/100*C25)/($B$5*$B$7/100),(G25*(1-$B$10/100)-H25)/($B$6/1024)),1)),""))</f>
        <v/>
      </c>
      <c r="V25" s="63">
        <f>IF(OR(A25="",M25="",M25=0),"",M25*$B$8)</f>
        <v/>
      </c>
    </row>
    <row r="26" ht="22" customHeight="1">
      <c r="A26" s="55">
        <f>IFERROR(INDEX(tHosts[Cluster],MATCH(0,COUNTIF($A$15:$A$25,tHosts[Cluster]),0)),"")</f>
        <v/>
      </c>
      <c r="B26" s="64">
        <f>IF(A26="","",COUNTIF(tHosts[Cluster],A26))</f>
        <v/>
      </c>
      <c r="C26" s="64">
        <f>IF(A26="","",SUMIF(tHosts[Cluster],A26,tHosts[CPUs]))</f>
        <v/>
      </c>
      <c r="D26" s="65">
        <f>IF(A26="","",IFERROR(AVERAGEIF(tHosts[Cluster],A26,tHosts[Consumed CPU %])/100,0))</f>
        <v/>
      </c>
      <c r="E26" s="65">
        <f>IF(A26="","",IFERROR(1-D26,0))</f>
        <v/>
      </c>
      <c r="F26" s="64">
        <f>IF(A26="","",ROUND(SUMPRODUCT((tHosts[Cluster]=A26)*tHosts[CPUs]*(100-tHosts[Consumed CPU %])/100),0))</f>
        <v/>
      </c>
      <c r="G26" s="64">
        <f>IF(A26="","",ROUND(SUMIF(tHosts[Cluster],A26,tHosts[Memory Size (MB)])/1024,0))</f>
        <v/>
      </c>
      <c r="H26" s="64">
        <f>IF(A26="","",ROUND(SUMPRODUCT((tHosts[Cluster]=A26)*tHosts[Memory Size (MB)]*tHosts[Consumed Memory %]/100)/1024,0))</f>
        <v/>
      </c>
      <c r="I26" s="65">
        <f>IF(A26="","",IFERROR(1-H26/G26,0))</f>
        <v/>
      </c>
      <c r="J26" s="64">
        <f>IF(A26="","",COUNTIF(tVMs[Cluster],A26))</f>
        <v/>
      </c>
      <c r="K26" s="64">
        <f>IF(A26="","",IFERROR(SUMIF(tVMs[Cluster],A26,tVMs[Provisioned Space]),0))</f>
        <v/>
      </c>
      <c r="L26" s="64">
        <f>IF(A26="","",IFERROR(SUMIF(tVMs[Cluster],A26,tVMs[Used Space]),0))</f>
        <v/>
      </c>
      <c r="M26" s="58" t="inlineStr"/>
      <c r="N26" s="59">
        <f>IF(OR(A26="",M26="",M26=0),"",M26*$B$5)</f>
        <v/>
      </c>
      <c r="O26" s="60">
        <f>IF(OR(A26="",M26="",M26=0),"",ROUND(M26*$B$6/1024,1))</f>
        <v/>
      </c>
      <c r="P26" s="59">
        <f>IF(OR(A26="",M26="",M26=0),"",M26*$B$8)</f>
        <v/>
      </c>
      <c r="Q26" s="61">
        <f>IF(OR(A26="",M26="",M26=0),"",IFERROR((F26-N26*$B$5*$B$7/100)/C26,0))</f>
        <v/>
      </c>
      <c r="R26" s="62">
        <f>IF(Q26="","",IF(Q26&lt;$B$9/100,"🔴 Critique",IF(Q26&lt;($B$9+5)/100,"⚠️ Warning","✅ OK")))</f>
        <v/>
      </c>
      <c r="S26" s="61">
        <f>IF(OR(A26="",M26="",M26=0),"",IFERROR((G26-(H26+O26))/G26,0))</f>
        <v/>
      </c>
      <c r="T26" s="62">
        <f>IF(S26="","",IF(S26&lt;$B$10/100,"🔴 Critique",IF(S26&lt;($B$10+5)/100,"⚠️ Warning","✅ OK")))</f>
        <v/>
      </c>
      <c r="U26" s="63">
        <f>IF(A26="","",IFERROR(MAX(0,FLOOR(MIN((F26-$B$9/100*C26)/($B$5*$B$7/100),(G26*(1-$B$10/100)-H26)/($B$6/1024)),1)),""))</f>
        <v/>
      </c>
      <c r="V26" s="63">
        <f>IF(OR(A26="",M26="",M26=0),"",M26*$B$8)</f>
        <v/>
      </c>
    </row>
    <row r="27" ht="22" customHeight="1">
      <c r="A27" s="55">
        <f>IFERROR(INDEX(tHosts[Cluster],MATCH(0,COUNTIF($A$15:$A$26,tHosts[Cluster]),0)),"")</f>
        <v/>
      </c>
      <c r="B27" s="56">
        <f>IF(A27="","",COUNTIF(tHosts[Cluster],A27))</f>
        <v/>
      </c>
      <c r="C27" s="56">
        <f>IF(A27="","",SUMIF(tHosts[Cluster],A27,tHosts[CPUs]))</f>
        <v/>
      </c>
      <c r="D27" s="57">
        <f>IF(A27="","",IFERROR(AVERAGEIF(tHosts[Cluster],A27,tHosts[Consumed CPU %])/100,0))</f>
        <v/>
      </c>
      <c r="E27" s="57">
        <f>IF(A27="","",IFERROR(1-D27,0))</f>
        <v/>
      </c>
      <c r="F27" s="56">
        <f>IF(A27="","",ROUND(SUMPRODUCT((tHosts[Cluster]=A27)*tHosts[CPUs]*(100-tHosts[Consumed CPU %])/100),0))</f>
        <v/>
      </c>
      <c r="G27" s="56">
        <f>IF(A27="","",ROUND(SUMIF(tHosts[Cluster],A27,tHosts[Memory Size (MB)])/1024,0))</f>
        <v/>
      </c>
      <c r="H27" s="56">
        <f>IF(A27="","",ROUND(SUMPRODUCT((tHosts[Cluster]=A27)*tHosts[Memory Size (MB)]*tHosts[Consumed Memory %]/100)/1024,0))</f>
        <v/>
      </c>
      <c r="I27" s="57">
        <f>IF(A27="","",IFERROR(1-H27/G27,0))</f>
        <v/>
      </c>
      <c r="J27" s="56">
        <f>IF(A27="","",COUNTIF(tVMs[Cluster],A27))</f>
        <v/>
      </c>
      <c r="K27" s="56">
        <f>IF(A27="","",IFERROR(SUMIF(tVMs[Cluster],A27,tVMs[Provisioned Space]),0))</f>
        <v/>
      </c>
      <c r="L27" s="56">
        <f>IF(A27="","",IFERROR(SUMIF(tVMs[Cluster],A27,tVMs[Used Space]),0))</f>
        <v/>
      </c>
      <c r="M27" s="58" t="inlineStr"/>
      <c r="N27" s="59">
        <f>IF(OR(A27="",M27="",M27=0),"",M27*$B$5)</f>
        <v/>
      </c>
      <c r="O27" s="60">
        <f>IF(OR(A27="",M27="",M27=0),"",ROUND(M27*$B$6/1024,1))</f>
        <v/>
      </c>
      <c r="P27" s="59">
        <f>IF(OR(A27="",M27="",M27=0),"",M27*$B$8)</f>
        <v/>
      </c>
      <c r="Q27" s="61">
        <f>IF(OR(A27="",M27="",M27=0),"",IFERROR((F27-N27*$B$5*$B$7/100)/C27,0))</f>
        <v/>
      </c>
      <c r="R27" s="62">
        <f>IF(Q27="","",IF(Q27&lt;$B$9/100,"🔴 Critique",IF(Q27&lt;($B$9+5)/100,"⚠️ Warning","✅ OK")))</f>
        <v/>
      </c>
      <c r="S27" s="61">
        <f>IF(OR(A27="",M27="",M27=0),"",IFERROR((G27-(H27+O27))/G27,0))</f>
        <v/>
      </c>
      <c r="T27" s="62">
        <f>IF(S27="","",IF(S27&lt;$B$10/100,"🔴 Critique",IF(S27&lt;($B$10+5)/100,"⚠️ Warning","✅ OK")))</f>
        <v/>
      </c>
      <c r="U27" s="63">
        <f>IF(A27="","",IFERROR(MAX(0,FLOOR(MIN((F27-$B$9/100*C27)/($B$5*$B$7/100),(G27*(1-$B$10/100)-H27)/($B$6/1024)),1)),""))</f>
        <v/>
      </c>
      <c r="V27" s="63">
        <f>IF(OR(A27="",M27="",M27=0),"",M27*$B$8)</f>
        <v/>
      </c>
    </row>
    <row r="28" ht="22" customHeight="1">
      <c r="A28" s="55">
        <f>IFERROR(INDEX(tHosts[Cluster],MATCH(0,COUNTIF($A$15:$A$27,tHosts[Cluster]),0)),"")</f>
        <v/>
      </c>
      <c r="B28" s="64">
        <f>IF(A28="","",COUNTIF(tHosts[Cluster],A28))</f>
        <v/>
      </c>
      <c r="C28" s="64">
        <f>IF(A28="","",SUMIF(tHosts[Cluster],A28,tHosts[CPUs]))</f>
        <v/>
      </c>
      <c r="D28" s="65">
        <f>IF(A28="","",IFERROR(AVERAGEIF(tHosts[Cluster],A28,tHosts[Consumed CPU %])/100,0))</f>
        <v/>
      </c>
      <c r="E28" s="65">
        <f>IF(A28="","",IFERROR(1-D28,0))</f>
        <v/>
      </c>
      <c r="F28" s="64">
        <f>IF(A28="","",ROUND(SUMPRODUCT((tHosts[Cluster]=A28)*tHosts[CPUs]*(100-tHosts[Consumed CPU %])/100),0))</f>
        <v/>
      </c>
      <c r="G28" s="64">
        <f>IF(A28="","",ROUND(SUMIF(tHosts[Cluster],A28,tHosts[Memory Size (MB)])/1024,0))</f>
        <v/>
      </c>
      <c r="H28" s="64">
        <f>IF(A28="","",ROUND(SUMPRODUCT((tHosts[Cluster]=A28)*tHosts[Memory Size (MB)]*tHosts[Consumed Memory %]/100)/1024,0))</f>
        <v/>
      </c>
      <c r="I28" s="65">
        <f>IF(A28="","",IFERROR(1-H28/G28,0))</f>
        <v/>
      </c>
      <c r="J28" s="64">
        <f>IF(A28="","",COUNTIF(tVMs[Cluster],A28))</f>
        <v/>
      </c>
      <c r="K28" s="64">
        <f>IF(A28="","",IFERROR(SUMIF(tVMs[Cluster],A28,tVMs[Provisioned Space]),0))</f>
        <v/>
      </c>
      <c r="L28" s="64">
        <f>IF(A28="","",IFERROR(SUMIF(tVMs[Cluster],A28,tVMs[Used Space]),0))</f>
        <v/>
      </c>
      <c r="M28" s="58" t="inlineStr"/>
      <c r="N28" s="59">
        <f>IF(OR(A28="",M28="",M28=0),"",M28*$B$5)</f>
        <v/>
      </c>
      <c r="O28" s="60">
        <f>IF(OR(A28="",M28="",M28=0),"",ROUND(M28*$B$6/1024,1))</f>
        <v/>
      </c>
      <c r="P28" s="59">
        <f>IF(OR(A28="",M28="",M28=0),"",M28*$B$8)</f>
        <v/>
      </c>
      <c r="Q28" s="61">
        <f>IF(OR(A28="",M28="",M28=0),"",IFERROR((F28-N28*$B$5*$B$7/100)/C28,0))</f>
        <v/>
      </c>
      <c r="R28" s="62">
        <f>IF(Q28="","",IF(Q28&lt;$B$9/100,"🔴 Critique",IF(Q28&lt;($B$9+5)/100,"⚠️ Warning","✅ OK")))</f>
        <v/>
      </c>
      <c r="S28" s="61">
        <f>IF(OR(A28="",M28="",M28=0),"",IFERROR((G28-(H28+O28))/G28,0))</f>
        <v/>
      </c>
      <c r="T28" s="62">
        <f>IF(S28="","",IF(S28&lt;$B$10/100,"🔴 Critique",IF(S28&lt;($B$10+5)/100,"⚠️ Warning","✅ OK")))</f>
        <v/>
      </c>
      <c r="U28" s="63">
        <f>IF(A28="","",IFERROR(MAX(0,FLOOR(MIN((F28-$B$9/100*C28)/($B$5*$B$7/100),(G28*(1-$B$10/100)-H28)/($B$6/1024)),1)),""))</f>
        <v/>
      </c>
      <c r="V28" s="63">
        <f>IF(OR(A28="",M28="",M28=0),"",M28*$B$8)</f>
        <v/>
      </c>
    </row>
    <row r="29" ht="22" customHeight="1">
      <c r="A29" s="55">
        <f>IFERROR(INDEX(tHosts[Cluster],MATCH(0,COUNTIF($A$15:$A$28,tHosts[Cluster]),0)),"")</f>
        <v/>
      </c>
      <c r="B29" s="56">
        <f>IF(A29="","",COUNTIF(tHosts[Cluster],A29))</f>
        <v/>
      </c>
      <c r="C29" s="56">
        <f>IF(A29="","",SUMIF(tHosts[Cluster],A29,tHosts[CPUs]))</f>
        <v/>
      </c>
      <c r="D29" s="57">
        <f>IF(A29="","",IFERROR(AVERAGEIF(tHosts[Cluster],A29,tHosts[Consumed CPU %])/100,0))</f>
        <v/>
      </c>
      <c r="E29" s="57">
        <f>IF(A29="","",IFERROR(1-D29,0))</f>
        <v/>
      </c>
      <c r="F29" s="56">
        <f>IF(A29="","",ROUND(SUMPRODUCT((tHosts[Cluster]=A29)*tHosts[CPUs]*(100-tHosts[Consumed CPU %])/100),0))</f>
        <v/>
      </c>
      <c r="G29" s="56">
        <f>IF(A29="","",ROUND(SUMIF(tHosts[Cluster],A29,tHosts[Memory Size (MB)])/1024,0))</f>
        <v/>
      </c>
      <c r="H29" s="56">
        <f>IF(A29="","",ROUND(SUMPRODUCT((tHosts[Cluster]=A29)*tHosts[Memory Size (MB)]*tHosts[Consumed Memory %]/100)/1024,0))</f>
        <v/>
      </c>
      <c r="I29" s="57">
        <f>IF(A29="","",IFERROR(1-H29/G29,0))</f>
        <v/>
      </c>
      <c r="J29" s="56">
        <f>IF(A29="","",COUNTIF(tVMs[Cluster],A29))</f>
        <v/>
      </c>
      <c r="K29" s="56">
        <f>IF(A29="","",IFERROR(SUMIF(tVMs[Cluster],A29,tVMs[Provisioned Space]),0))</f>
        <v/>
      </c>
      <c r="L29" s="56">
        <f>IF(A29="","",IFERROR(SUMIF(tVMs[Cluster],A29,tVMs[Used Space]),0))</f>
        <v/>
      </c>
      <c r="M29" s="58" t="inlineStr"/>
      <c r="N29" s="59">
        <f>IF(OR(A29="",M29="",M29=0),"",M29*$B$5)</f>
        <v/>
      </c>
      <c r="O29" s="60">
        <f>IF(OR(A29="",M29="",M29=0),"",ROUND(M29*$B$6/1024,1))</f>
        <v/>
      </c>
      <c r="P29" s="59">
        <f>IF(OR(A29="",M29="",M29=0),"",M29*$B$8)</f>
        <v/>
      </c>
      <c r="Q29" s="61">
        <f>IF(OR(A29="",M29="",M29=0),"",IFERROR((F29-N29*$B$5*$B$7/100)/C29,0))</f>
        <v/>
      </c>
      <c r="R29" s="62">
        <f>IF(Q29="","",IF(Q29&lt;$B$9/100,"🔴 Critique",IF(Q29&lt;($B$9+5)/100,"⚠️ Warning","✅ OK")))</f>
        <v/>
      </c>
      <c r="S29" s="61">
        <f>IF(OR(A29="",M29="",M29=0),"",IFERROR((G29-(H29+O29))/G29,0))</f>
        <v/>
      </c>
      <c r="T29" s="62">
        <f>IF(S29="","",IF(S29&lt;$B$10/100,"🔴 Critique",IF(S29&lt;($B$10+5)/100,"⚠️ Warning","✅ OK")))</f>
        <v/>
      </c>
      <c r="U29" s="63">
        <f>IF(A29="","",IFERROR(MAX(0,FLOOR(MIN((F29-$B$9/100*C29)/($B$5*$B$7/100),(G29*(1-$B$10/100)-H29)/($B$6/1024)),1)),""))</f>
        <v/>
      </c>
      <c r="V29" s="63">
        <f>IF(OR(A29="",M29="",M29=0),"",M29*$B$8)</f>
        <v/>
      </c>
    </row>
    <row r="30" ht="22" customHeight="1">
      <c r="A30" s="55">
        <f>IFERROR(INDEX(tHosts[Cluster],MATCH(0,COUNTIF($A$15:$A$29,tHosts[Cluster]),0)),"")</f>
        <v/>
      </c>
      <c r="B30" s="64">
        <f>IF(A30="","",COUNTIF(tHosts[Cluster],A30))</f>
        <v/>
      </c>
      <c r="C30" s="64">
        <f>IF(A30="","",SUMIF(tHosts[Cluster],A30,tHosts[CPUs]))</f>
        <v/>
      </c>
      <c r="D30" s="65">
        <f>IF(A30="","",IFERROR(AVERAGEIF(tHosts[Cluster],A30,tHosts[Consumed CPU %])/100,0))</f>
        <v/>
      </c>
      <c r="E30" s="65">
        <f>IF(A30="","",IFERROR(1-D30,0))</f>
        <v/>
      </c>
      <c r="F30" s="64">
        <f>IF(A30="","",ROUND(SUMPRODUCT((tHosts[Cluster]=A30)*tHosts[CPUs]*(100-tHosts[Consumed CPU %])/100),0))</f>
        <v/>
      </c>
      <c r="G30" s="64">
        <f>IF(A30="","",ROUND(SUMIF(tHosts[Cluster],A30,tHosts[Memory Size (MB)])/1024,0))</f>
        <v/>
      </c>
      <c r="H30" s="64">
        <f>IF(A30="","",ROUND(SUMPRODUCT((tHosts[Cluster]=A30)*tHosts[Memory Size (MB)]*tHosts[Consumed Memory %]/100)/1024,0))</f>
        <v/>
      </c>
      <c r="I30" s="65">
        <f>IF(A30="","",IFERROR(1-H30/G30,0))</f>
        <v/>
      </c>
      <c r="J30" s="64">
        <f>IF(A30="","",COUNTIF(tVMs[Cluster],A30))</f>
        <v/>
      </c>
      <c r="K30" s="64">
        <f>IF(A30="","",IFERROR(SUMIF(tVMs[Cluster],A30,tVMs[Provisioned Space]),0))</f>
        <v/>
      </c>
      <c r="L30" s="64">
        <f>IF(A30="","",IFERROR(SUMIF(tVMs[Cluster],A30,tVMs[Used Space]),0))</f>
        <v/>
      </c>
      <c r="M30" s="58" t="inlineStr"/>
      <c r="N30" s="59">
        <f>IF(OR(A30="",M30="",M30=0),"",M30*$B$5)</f>
        <v/>
      </c>
      <c r="O30" s="60">
        <f>IF(OR(A30="",M30="",M30=0),"",ROUND(M30*$B$6/1024,1))</f>
        <v/>
      </c>
      <c r="P30" s="59">
        <f>IF(OR(A30="",M30="",M30=0),"",M30*$B$8)</f>
        <v/>
      </c>
      <c r="Q30" s="61">
        <f>IF(OR(A30="",M30="",M30=0),"",IFERROR((F30-N30*$B$5*$B$7/100)/C30,0))</f>
        <v/>
      </c>
      <c r="R30" s="62">
        <f>IF(Q30="","",IF(Q30&lt;$B$9/100,"🔴 Critique",IF(Q30&lt;($B$9+5)/100,"⚠️ Warning","✅ OK")))</f>
        <v/>
      </c>
      <c r="S30" s="61">
        <f>IF(OR(A30="",M30="",M30=0),"",IFERROR((G30-(H30+O30))/G30,0))</f>
        <v/>
      </c>
      <c r="T30" s="62">
        <f>IF(S30="","",IF(S30&lt;$B$10/100,"🔴 Critique",IF(S30&lt;($B$10+5)/100,"⚠️ Warning","✅ OK")))</f>
        <v/>
      </c>
      <c r="U30" s="63">
        <f>IF(A30="","",IFERROR(MAX(0,FLOOR(MIN((F30-$B$9/100*C30)/($B$5*$B$7/100),(G30*(1-$B$10/100)-H30)/($B$6/1024)),1)),""))</f>
        <v/>
      </c>
      <c r="V30" s="63">
        <f>IF(OR(A30="",M30="",M30=0),"",M30*$B$8)</f>
        <v/>
      </c>
    </row>
    <row r="31" ht="22" customHeight="1">
      <c r="A31" s="55">
        <f>IFERROR(INDEX(tHosts[Cluster],MATCH(0,COUNTIF($A$15:$A$30,tHosts[Cluster]),0)),"")</f>
        <v/>
      </c>
      <c r="B31" s="56">
        <f>IF(A31="","",COUNTIF(tHosts[Cluster],A31))</f>
        <v/>
      </c>
      <c r="C31" s="56">
        <f>IF(A31="","",SUMIF(tHosts[Cluster],A31,tHosts[CPUs]))</f>
        <v/>
      </c>
      <c r="D31" s="57">
        <f>IF(A31="","",IFERROR(AVERAGEIF(tHosts[Cluster],A31,tHosts[Consumed CPU %])/100,0))</f>
        <v/>
      </c>
      <c r="E31" s="57">
        <f>IF(A31="","",IFERROR(1-D31,0))</f>
        <v/>
      </c>
      <c r="F31" s="56">
        <f>IF(A31="","",ROUND(SUMPRODUCT((tHosts[Cluster]=A31)*tHosts[CPUs]*(100-tHosts[Consumed CPU %])/100),0))</f>
        <v/>
      </c>
      <c r="G31" s="56">
        <f>IF(A31="","",ROUND(SUMIF(tHosts[Cluster],A31,tHosts[Memory Size (MB)])/1024,0))</f>
        <v/>
      </c>
      <c r="H31" s="56">
        <f>IF(A31="","",ROUND(SUMPRODUCT((tHosts[Cluster]=A31)*tHosts[Memory Size (MB)]*tHosts[Consumed Memory %]/100)/1024,0))</f>
        <v/>
      </c>
      <c r="I31" s="57">
        <f>IF(A31="","",IFERROR(1-H31/G31,0))</f>
        <v/>
      </c>
      <c r="J31" s="56">
        <f>IF(A31="","",COUNTIF(tVMs[Cluster],A31))</f>
        <v/>
      </c>
      <c r="K31" s="56">
        <f>IF(A31="","",IFERROR(SUMIF(tVMs[Cluster],A31,tVMs[Provisioned Space]),0))</f>
        <v/>
      </c>
      <c r="L31" s="56">
        <f>IF(A31="","",IFERROR(SUMIF(tVMs[Cluster],A31,tVMs[Used Space]),0))</f>
        <v/>
      </c>
      <c r="M31" s="58" t="inlineStr"/>
      <c r="N31" s="59">
        <f>IF(OR(A31="",M31="",M31=0),"",M31*$B$5)</f>
        <v/>
      </c>
      <c r="O31" s="60">
        <f>IF(OR(A31="",M31="",M31=0),"",ROUND(M31*$B$6/1024,1))</f>
        <v/>
      </c>
      <c r="P31" s="59">
        <f>IF(OR(A31="",M31="",M31=0),"",M31*$B$8)</f>
        <v/>
      </c>
      <c r="Q31" s="61">
        <f>IF(OR(A31="",M31="",M31=0),"",IFERROR((F31-N31*$B$5*$B$7/100)/C31,0))</f>
        <v/>
      </c>
      <c r="R31" s="62">
        <f>IF(Q31="","",IF(Q31&lt;$B$9/100,"🔴 Critique",IF(Q31&lt;($B$9+5)/100,"⚠️ Warning","✅ OK")))</f>
        <v/>
      </c>
      <c r="S31" s="61">
        <f>IF(OR(A31="",M31="",M31=0),"",IFERROR((G31-(H31+O31))/G31,0))</f>
        <v/>
      </c>
      <c r="T31" s="62">
        <f>IF(S31="","",IF(S31&lt;$B$10/100,"🔴 Critique",IF(S31&lt;($B$10+5)/100,"⚠️ Warning","✅ OK")))</f>
        <v/>
      </c>
      <c r="U31" s="63">
        <f>IF(A31="","",IFERROR(MAX(0,FLOOR(MIN((F31-$B$9/100*C31)/($B$5*$B$7/100),(G31*(1-$B$10/100)-H31)/($B$6/1024)),1)),""))</f>
        <v/>
      </c>
      <c r="V31" s="63">
        <f>IF(OR(A31="",M31="",M31=0),"",M31*$B$8)</f>
        <v/>
      </c>
    </row>
    <row r="32" ht="22" customHeight="1">
      <c r="A32" s="55">
        <f>IFERROR(INDEX(tHosts[Cluster],MATCH(0,COUNTIF($A$15:$A$31,tHosts[Cluster]),0)),"")</f>
        <v/>
      </c>
      <c r="B32" s="64">
        <f>IF(A32="","",COUNTIF(tHosts[Cluster],A32))</f>
        <v/>
      </c>
      <c r="C32" s="64">
        <f>IF(A32="","",SUMIF(tHosts[Cluster],A32,tHosts[CPUs]))</f>
        <v/>
      </c>
      <c r="D32" s="65">
        <f>IF(A32="","",IFERROR(AVERAGEIF(tHosts[Cluster],A32,tHosts[Consumed CPU %])/100,0))</f>
        <v/>
      </c>
      <c r="E32" s="65">
        <f>IF(A32="","",IFERROR(1-D32,0))</f>
        <v/>
      </c>
      <c r="F32" s="64">
        <f>IF(A32="","",ROUND(SUMPRODUCT((tHosts[Cluster]=A32)*tHosts[CPUs]*(100-tHosts[Consumed CPU %])/100),0))</f>
        <v/>
      </c>
      <c r="G32" s="64">
        <f>IF(A32="","",ROUND(SUMIF(tHosts[Cluster],A32,tHosts[Memory Size (MB)])/1024,0))</f>
        <v/>
      </c>
      <c r="H32" s="64">
        <f>IF(A32="","",ROUND(SUMPRODUCT((tHosts[Cluster]=A32)*tHosts[Memory Size (MB)]*tHosts[Consumed Memory %]/100)/1024,0))</f>
        <v/>
      </c>
      <c r="I32" s="65">
        <f>IF(A32="","",IFERROR(1-H32/G32,0))</f>
        <v/>
      </c>
      <c r="J32" s="64">
        <f>IF(A32="","",COUNTIF(tVMs[Cluster],A32))</f>
        <v/>
      </c>
      <c r="K32" s="64">
        <f>IF(A32="","",IFERROR(SUMIF(tVMs[Cluster],A32,tVMs[Provisioned Space]),0))</f>
        <v/>
      </c>
      <c r="L32" s="64">
        <f>IF(A32="","",IFERROR(SUMIF(tVMs[Cluster],A32,tVMs[Used Space]),0))</f>
        <v/>
      </c>
      <c r="M32" s="58" t="inlineStr"/>
      <c r="N32" s="59">
        <f>IF(OR(A32="",M32="",M32=0),"",M32*$B$5)</f>
        <v/>
      </c>
      <c r="O32" s="60">
        <f>IF(OR(A32="",M32="",M32=0),"",ROUND(M32*$B$6/1024,1))</f>
        <v/>
      </c>
      <c r="P32" s="59">
        <f>IF(OR(A32="",M32="",M32=0),"",M32*$B$8)</f>
        <v/>
      </c>
      <c r="Q32" s="61">
        <f>IF(OR(A32="",M32="",M32=0),"",IFERROR((F32-N32*$B$5*$B$7/100)/C32,0))</f>
        <v/>
      </c>
      <c r="R32" s="62">
        <f>IF(Q32="","",IF(Q32&lt;$B$9/100,"🔴 Critique",IF(Q32&lt;($B$9+5)/100,"⚠️ Warning","✅ OK")))</f>
        <v/>
      </c>
      <c r="S32" s="61">
        <f>IF(OR(A32="",M32="",M32=0),"",IFERROR((G32-(H32+O32))/G32,0))</f>
        <v/>
      </c>
      <c r="T32" s="62">
        <f>IF(S32="","",IF(S32&lt;$B$10/100,"🔴 Critique",IF(S32&lt;($B$10+5)/100,"⚠️ Warning","✅ OK")))</f>
        <v/>
      </c>
      <c r="U32" s="63">
        <f>IF(A32="","",IFERROR(MAX(0,FLOOR(MIN((F32-$B$9/100*C32)/($B$5*$B$7/100),(G32*(1-$B$10/100)-H32)/($B$6/1024)),1)),""))</f>
        <v/>
      </c>
      <c r="V32" s="63">
        <f>IF(OR(A32="",M32="",M32=0),"",M32*$B$8)</f>
        <v/>
      </c>
    </row>
    <row r="33" ht="22" customHeight="1">
      <c r="A33" s="55">
        <f>IFERROR(INDEX(tHosts[Cluster],MATCH(0,COUNTIF($A$15:$A$32,tHosts[Cluster]),0)),"")</f>
        <v/>
      </c>
      <c r="B33" s="56">
        <f>IF(A33="","",COUNTIF(tHosts[Cluster],A33))</f>
        <v/>
      </c>
      <c r="C33" s="56">
        <f>IF(A33="","",SUMIF(tHosts[Cluster],A33,tHosts[CPUs]))</f>
        <v/>
      </c>
      <c r="D33" s="57">
        <f>IF(A33="","",IFERROR(AVERAGEIF(tHosts[Cluster],A33,tHosts[Consumed CPU %])/100,0))</f>
        <v/>
      </c>
      <c r="E33" s="57">
        <f>IF(A33="","",IFERROR(1-D33,0))</f>
        <v/>
      </c>
      <c r="F33" s="56">
        <f>IF(A33="","",ROUND(SUMPRODUCT((tHosts[Cluster]=A33)*tHosts[CPUs]*(100-tHosts[Consumed CPU %])/100),0))</f>
        <v/>
      </c>
      <c r="G33" s="56">
        <f>IF(A33="","",ROUND(SUMIF(tHosts[Cluster],A33,tHosts[Memory Size (MB)])/1024,0))</f>
        <v/>
      </c>
      <c r="H33" s="56">
        <f>IF(A33="","",ROUND(SUMPRODUCT((tHosts[Cluster]=A33)*tHosts[Memory Size (MB)]*tHosts[Consumed Memory %]/100)/1024,0))</f>
        <v/>
      </c>
      <c r="I33" s="57">
        <f>IF(A33="","",IFERROR(1-H33/G33,0))</f>
        <v/>
      </c>
      <c r="J33" s="56">
        <f>IF(A33="","",COUNTIF(tVMs[Cluster],A33))</f>
        <v/>
      </c>
      <c r="K33" s="56">
        <f>IF(A33="","",IFERROR(SUMIF(tVMs[Cluster],A33,tVMs[Provisioned Space]),0))</f>
        <v/>
      </c>
      <c r="L33" s="56">
        <f>IF(A33="","",IFERROR(SUMIF(tVMs[Cluster],A33,tVMs[Used Space]),0))</f>
        <v/>
      </c>
      <c r="M33" s="58" t="inlineStr"/>
      <c r="N33" s="59">
        <f>IF(OR(A33="",M33="",M33=0),"",M33*$B$5)</f>
        <v/>
      </c>
      <c r="O33" s="60">
        <f>IF(OR(A33="",M33="",M33=0),"",ROUND(M33*$B$6/1024,1))</f>
        <v/>
      </c>
      <c r="P33" s="59">
        <f>IF(OR(A33="",M33="",M33=0),"",M33*$B$8)</f>
        <v/>
      </c>
      <c r="Q33" s="61">
        <f>IF(OR(A33="",M33="",M33=0),"",IFERROR((F33-N33*$B$5*$B$7/100)/C33,0))</f>
        <v/>
      </c>
      <c r="R33" s="62">
        <f>IF(Q33="","",IF(Q33&lt;$B$9/100,"🔴 Critique",IF(Q33&lt;($B$9+5)/100,"⚠️ Warning","✅ OK")))</f>
        <v/>
      </c>
      <c r="S33" s="61">
        <f>IF(OR(A33="",M33="",M33=0),"",IFERROR((G33-(H33+O33))/G33,0))</f>
        <v/>
      </c>
      <c r="T33" s="62">
        <f>IF(S33="","",IF(S33&lt;$B$10/100,"🔴 Critique",IF(S33&lt;($B$10+5)/100,"⚠️ Warning","✅ OK")))</f>
        <v/>
      </c>
      <c r="U33" s="63">
        <f>IF(A33="","",IFERROR(MAX(0,FLOOR(MIN((F33-$B$9/100*C33)/($B$5*$B$7/100),(G33*(1-$B$10/100)-H33)/($B$6/1024)),1)),""))</f>
        <v/>
      </c>
      <c r="V33" s="63">
        <f>IF(OR(A33="",M33="",M33=0),"",M33*$B$8)</f>
        <v/>
      </c>
    </row>
    <row r="34" ht="22" customHeight="1">
      <c r="A34" s="55">
        <f>IFERROR(INDEX(tHosts[Cluster],MATCH(0,COUNTIF($A$15:$A$33,tHosts[Cluster]),0)),"")</f>
        <v/>
      </c>
      <c r="B34" s="64">
        <f>IF(A34="","",COUNTIF(tHosts[Cluster],A34))</f>
        <v/>
      </c>
      <c r="C34" s="64">
        <f>IF(A34="","",SUMIF(tHosts[Cluster],A34,tHosts[CPUs]))</f>
        <v/>
      </c>
      <c r="D34" s="65">
        <f>IF(A34="","",IFERROR(AVERAGEIF(tHosts[Cluster],A34,tHosts[Consumed CPU %])/100,0))</f>
        <v/>
      </c>
      <c r="E34" s="65">
        <f>IF(A34="","",IFERROR(1-D34,0))</f>
        <v/>
      </c>
      <c r="F34" s="64">
        <f>IF(A34="","",ROUND(SUMPRODUCT((tHosts[Cluster]=A34)*tHosts[CPUs]*(100-tHosts[Consumed CPU %])/100),0))</f>
        <v/>
      </c>
      <c r="G34" s="64">
        <f>IF(A34="","",ROUND(SUMIF(tHosts[Cluster],A34,tHosts[Memory Size (MB)])/1024,0))</f>
        <v/>
      </c>
      <c r="H34" s="64">
        <f>IF(A34="","",ROUND(SUMPRODUCT((tHosts[Cluster]=A34)*tHosts[Memory Size (MB)]*tHosts[Consumed Memory %]/100)/1024,0))</f>
        <v/>
      </c>
      <c r="I34" s="65">
        <f>IF(A34="","",IFERROR(1-H34/G34,0))</f>
        <v/>
      </c>
      <c r="J34" s="64">
        <f>IF(A34="","",COUNTIF(tVMs[Cluster],A34))</f>
        <v/>
      </c>
      <c r="K34" s="64">
        <f>IF(A34="","",IFERROR(SUMIF(tVMs[Cluster],A34,tVMs[Provisioned Space]),0))</f>
        <v/>
      </c>
      <c r="L34" s="64">
        <f>IF(A34="","",IFERROR(SUMIF(tVMs[Cluster],A34,tVMs[Used Space]),0))</f>
        <v/>
      </c>
      <c r="M34" s="58" t="inlineStr"/>
      <c r="N34" s="59">
        <f>IF(OR(A34="",M34="",M34=0),"",M34*$B$5)</f>
        <v/>
      </c>
      <c r="O34" s="60">
        <f>IF(OR(A34="",M34="",M34=0),"",ROUND(M34*$B$6/1024,1))</f>
        <v/>
      </c>
      <c r="P34" s="59">
        <f>IF(OR(A34="",M34="",M34=0),"",M34*$B$8)</f>
        <v/>
      </c>
      <c r="Q34" s="61">
        <f>IF(OR(A34="",M34="",M34=0),"",IFERROR((F34-N34*$B$5*$B$7/100)/C34,0))</f>
        <v/>
      </c>
      <c r="R34" s="62">
        <f>IF(Q34="","",IF(Q34&lt;$B$9/100,"🔴 Critique",IF(Q34&lt;($B$9+5)/100,"⚠️ Warning","✅ OK")))</f>
        <v/>
      </c>
      <c r="S34" s="61">
        <f>IF(OR(A34="",M34="",M34=0),"",IFERROR((G34-(H34+O34))/G34,0))</f>
        <v/>
      </c>
      <c r="T34" s="62">
        <f>IF(S34="","",IF(S34&lt;$B$10/100,"🔴 Critique",IF(S34&lt;($B$10+5)/100,"⚠️ Warning","✅ OK")))</f>
        <v/>
      </c>
      <c r="U34" s="63">
        <f>IF(A34="","",IFERROR(MAX(0,FLOOR(MIN((F34-$B$9/100*C34)/($B$5*$B$7/100),(G34*(1-$B$10/100)-H34)/($B$6/1024)),1)),""))</f>
        <v/>
      </c>
      <c r="V34" s="63">
        <f>IF(OR(A34="",M34="",M34=0),"",M34*$B$8)</f>
        <v/>
      </c>
    </row>
    <row r="35" ht="22" customHeight="1">
      <c r="A35" s="55">
        <f>IFERROR(INDEX(tHosts[Cluster],MATCH(0,COUNTIF($A$15:$A$34,tHosts[Cluster]),0)),"")</f>
        <v/>
      </c>
      <c r="B35" s="56">
        <f>IF(A35="","",COUNTIF(tHosts[Cluster],A35))</f>
        <v/>
      </c>
      <c r="C35" s="56">
        <f>IF(A35="","",SUMIF(tHosts[Cluster],A35,tHosts[CPUs]))</f>
        <v/>
      </c>
      <c r="D35" s="57">
        <f>IF(A35="","",IFERROR(AVERAGEIF(tHosts[Cluster],A35,tHosts[Consumed CPU %])/100,0))</f>
        <v/>
      </c>
      <c r="E35" s="57">
        <f>IF(A35="","",IFERROR(1-D35,0))</f>
        <v/>
      </c>
      <c r="F35" s="56">
        <f>IF(A35="","",ROUND(SUMPRODUCT((tHosts[Cluster]=A35)*tHosts[CPUs]*(100-tHosts[Consumed CPU %])/100),0))</f>
        <v/>
      </c>
      <c r="G35" s="56">
        <f>IF(A35="","",ROUND(SUMIF(tHosts[Cluster],A35,tHosts[Memory Size (MB)])/1024,0))</f>
        <v/>
      </c>
      <c r="H35" s="56">
        <f>IF(A35="","",ROUND(SUMPRODUCT((tHosts[Cluster]=A35)*tHosts[Memory Size (MB)]*tHosts[Consumed Memory %]/100)/1024,0))</f>
        <v/>
      </c>
      <c r="I35" s="57">
        <f>IF(A35="","",IFERROR(1-H35/G35,0))</f>
        <v/>
      </c>
      <c r="J35" s="56">
        <f>IF(A35="","",COUNTIF(tVMs[Cluster],A35))</f>
        <v/>
      </c>
      <c r="K35" s="56">
        <f>IF(A35="","",IFERROR(SUMIF(tVMs[Cluster],A35,tVMs[Provisioned Space]),0))</f>
        <v/>
      </c>
      <c r="L35" s="56">
        <f>IF(A35="","",IFERROR(SUMIF(tVMs[Cluster],A35,tVMs[Used Space]),0))</f>
        <v/>
      </c>
      <c r="M35" s="58" t="inlineStr"/>
      <c r="N35" s="59">
        <f>IF(OR(A35="",M35="",M35=0),"",M35*$B$5)</f>
        <v/>
      </c>
      <c r="O35" s="60">
        <f>IF(OR(A35="",M35="",M35=0),"",ROUND(M35*$B$6/1024,1))</f>
        <v/>
      </c>
      <c r="P35" s="59">
        <f>IF(OR(A35="",M35="",M35=0),"",M35*$B$8)</f>
        <v/>
      </c>
      <c r="Q35" s="61">
        <f>IF(OR(A35="",M35="",M35=0),"",IFERROR((F35-N35*$B$5*$B$7/100)/C35,0))</f>
        <v/>
      </c>
      <c r="R35" s="62">
        <f>IF(Q35="","",IF(Q35&lt;$B$9/100,"🔴 Critique",IF(Q35&lt;($B$9+5)/100,"⚠️ Warning","✅ OK")))</f>
        <v/>
      </c>
      <c r="S35" s="61">
        <f>IF(OR(A35="",M35="",M35=0),"",IFERROR((G35-(H35+O35))/G35,0))</f>
        <v/>
      </c>
      <c r="T35" s="62">
        <f>IF(S35="","",IF(S35&lt;$B$10/100,"🔴 Critique",IF(S35&lt;($B$10+5)/100,"⚠️ Warning","✅ OK")))</f>
        <v/>
      </c>
      <c r="U35" s="63">
        <f>IF(A35="","",IFERROR(MAX(0,FLOOR(MIN((F35-$B$9/100*C35)/($B$5*$B$7/100),(G35*(1-$B$10/100)-H35)/($B$6/1024)),1)),""))</f>
        <v/>
      </c>
      <c r="V35" s="63">
        <f>IF(OR(A35="",M35="",M35=0),"",M35*$B$8)</f>
        <v/>
      </c>
    </row>
    <row r="36" ht="22" customHeight="1">
      <c r="A36" s="55">
        <f>IFERROR(INDEX(tHosts[Cluster],MATCH(0,COUNTIF($A$15:$A$35,tHosts[Cluster]),0)),"")</f>
        <v/>
      </c>
      <c r="B36" s="64">
        <f>IF(A36="","",COUNTIF(tHosts[Cluster],A36))</f>
        <v/>
      </c>
      <c r="C36" s="64">
        <f>IF(A36="","",SUMIF(tHosts[Cluster],A36,tHosts[CPUs]))</f>
        <v/>
      </c>
      <c r="D36" s="65">
        <f>IF(A36="","",IFERROR(AVERAGEIF(tHosts[Cluster],A36,tHosts[Consumed CPU %])/100,0))</f>
        <v/>
      </c>
      <c r="E36" s="65">
        <f>IF(A36="","",IFERROR(1-D36,0))</f>
        <v/>
      </c>
      <c r="F36" s="64">
        <f>IF(A36="","",ROUND(SUMPRODUCT((tHosts[Cluster]=A36)*tHosts[CPUs]*(100-tHosts[Consumed CPU %])/100),0))</f>
        <v/>
      </c>
      <c r="G36" s="64">
        <f>IF(A36="","",ROUND(SUMIF(tHosts[Cluster],A36,tHosts[Memory Size (MB)])/1024,0))</f>
        <v/>
      </c>
      <c r="H36" s="64">
        <f>IF(A36="","",ROUND(SUMPRODUCT((tHosts[Cluster]=A36)*tHosts[Memory Size (MB)]*tHosts[Consumed Memory %]/100)/1024,0))</f>
        <v/>
      </c>
      <c r="I36" s="65">
        <f>IF(A36="","",IFERROR(1-H36/G36,0))</f>
        <v/>
      </c>
      <c r="J36" s="64">
        <f>IF(A36="","",COUNTIF(tVMs[Cluster],A36))</f>
        <v/>
      </c>
      <c r="K36" s="64">
        <f>IF(A36="","",IFERROR(SUMIF(tVMs[Cluster],A36,tVMs[Provisioned Space]),0))</f>
        <v/>
      </c>
      <c r="L36" s="64">
        <f>IF(A36="","",IFERROR(SUMIF(tVMs[Cluster],A36,tVMs[Used Space]),0))</f>
        <v/>
      </c>
      <c r="M36" s="58" t="inlineStr"/>
      <c r="N36" s="59">
        <f>IF(OR(A36="",M36="",M36=0),"",M36*$B$5)</f>
        <v/>
      </c>
      <c r="O36" s="60">
        <f>IF(OR(A36="",M36="",M36=0),"",ROUND(M36*$B$6/1024,1))</f>
        <v/>
      </c>
      <c r="P36" s="59">
        <f>IF(OR(A36="",M36="",M36=0),"",M36*$B$8)</f>
        <v/>
      </c>
      <c r="Q36" s="61">
        <f>IF(OR(A36="",M36="",M36=0),"",IFERROR((F36-N36*$B$5*$B$7/100)/C36,0))</f>
        <v/>
      </c>
      <c r="R36" s="62">
        <f>IF(Q36="","",IF(Q36&lt;$B$9/100,"🔴 Critique",IF(Q36&lt;($B$9+5)/100,"⚠️ Warning","✅ OK")))</f>
        <v/>
      </c>
      <c r="S36" s="61">
        <f>IF(OR(A36="",M36="",M36=0),"",IFERROR((G36-(H36+O36))/G36,0))</f>
        <v/>
      </c>
      <c r="T36" s="62">
        <f>IF(S36="","",IF(S36&lt;$B$10/100,"🔴 Critique",IF(S36&lt;($B$10+5)/100,"⚠️ Warning","✅ OK")))</f>
        <v/>
      </c>
      <c r="U36" s="63">
        <f>IF(A36="","",IFERROR(MAX(0,FLOOR(MIN((F36-$B$9/100*C36)/($B$5*$B$7/100),(G36*(1-$B$10/100)-H36)/($B$6/1024)),1)),""))</f>
        <v/>
      </c>
      <c r="V36" s="63">
        <f>IF(OR(A36="",M36="",M36=0),"",M36*$B$8)</f>
        <v/>
      </c>
    </row>
    <row r="37" ht="22" customHeight="1">
      <c r="A37" s="55">
        <f>IFERROR(INDEX(tHosts[Cluster],MATCH(0,COUNTIF($A$15:$A$36,tHosts[Cluster]),0)),"")</f>
        <v/>
      </c>
      <c r="B37" s="56">
        <f>IF(A37="","",COUNTIF(tHosts[Cluster],A37))</f>
        <v/>
      </c>
      <c r="C37" s="56">
        <f>IF(A37="","",SUMIF(tHosts[Cluster],A37,tHosts[CPUs]))</f>
        <v/>
      </c>
      <c r="D37" s="57">
        <f>IF(A37="","",IFERROR(AVERAGEIF(tHosts[Cluster],A37,tHosts[Consumed CPU %])/100,0))</f>
        <v/>
      </c>
      <c r="E37" s="57">
        <f>IF(A37="","",IFERROR(1-D37,0))</f>
        <v/>
      </c>
      <c r="F37" s="56">
        <f>IF(A37="","",ROUND(SUMPRODUCT((tHosts[Cluster]=A37)*tHosts[CPUs]*(100-tHosts[Consumed CPU %])/100),0))</f>
        <v/>
      </c>
      <c r="G37" s="56">
        <f>IF(A37="","",ROUND(SUMIF(tHosts[Cluster],A37,tHosts[Memory Size (MB)])/1024,0))</f>
        <v/>
      </c>
      <c r="H37" s="56">
        <f>IF(A37="","",ROUND(SUMPRODUCT((tHosts[Cluster]=A37)*tHosts[Memory Size (MB)]*tHosts[Consumed Memory %]/100)/1024,0))</f>
        <v/>
      </c>
      <c r="I37" s="57">
        <f>IF(A37="","",IFERROR(1-H37/G37,0))</f>
        <v/>
      </c>
      <c r="J37" s="56">
        <f>IF(A37="","",COUNTIF(tVMs[Cluster],A37))</f>
        <v/>
      </c>
      <c r="K37" s="56">
        <f>IF(A37="","",IFERROR(SUMIF(tVMs[Cluster],A37,tVMs[Provisioned Space]),0))</f>
        <v/>
      </c>
      <c r="L37" s="56">
        <f>IF(A37="","",IFERROR(SUMIF(tVMs[Cluster],A37,tVMs[Used Space]),0))</f>
        <v/>
      </c>
      <c r="M37" s="58" t="inlineStr"/>
      <c r="N37" s="59">
        <f>IF(OR(A37="",M37="",M37=0),"",M37*$B$5)</f>
        <v/>
      </c>
      <c r="O37" s="60">
        <f>IF(OR(A37="",M37="",M37=0),"",ROUND(M37*$B$6/1024,1))</f>
        <v/>
      </c>
      <c r="P37" s="59">
        <f>IF(OR(A37="",M37="",M37=0),"",M37*$B$8)</f>
        <v/>
      </c>
      <c r="Q37" s="61">
        <f>IF(OR(A37="",M37="",M37=0),"",IFERROR((F37-N37*$B$5*$B$7/100)/C37,0))</f>
        <v/>
      </c>
      <c r="R37" s="62">
        <f>IF(Q37="","",IF(Q37&lt;$B$9/100,"🔴 Critique",IF(Q37&lt;($B$9+5)/100,"⚠️ Warning","✅ OK")))</f>
        <v/>
      </c>
      <c r="S37" s="61">
        <f>IF(OR(A37="",M37="",M37=0),"",IFERROR((G37-(H37+O37))/G37,0))</f>
        <v/>
      </c>
      <c r="T37" s="62">
        <f>IF(S37="","",IF(S37&lt;$B$10/100,"🔴 Critique",IF(S37&lt;($B$10+5)/100,"⚠️ Warning","✅ OK")))</f>
        <v/>
      </c>
      <c r="U37" s="63">
        <f>IF(A37="","",IFERROR(MAX(0,FLOOR(MIN((F37-$B$9/100*C37)/($B$5*$B$7/100),(G37*(1-$B$10/100)-H37)/($B$6/1024)),1)),""))</f>
        <v/>
      </c>
      <c r="V37" s="63">
        <f>IF(OR(A37="",M37="",M37=0),"",M37*$B$8)</f>
        <v/>
      </c>
    </row>
    <row r="38" ht="22" customHeight="1">
      <c r="A38" s="55">
        <f>IFERROR(INDEX(tHosts[Cluster],MATCH(0,COUNTIF($A$15:$A$37,tHosts[Cluster]),0)),"")</f>
        <v/>
      </c>
      <c r="B38" s="64">
        <f>IF(A38="","",COUNTIF(tHosts[Cluster],A38))</f>
        <v/>
      </c>
      <c r="C38" s="64">
        <f>IF(A38="","",SUMIF(tHosts[Cluster],A38,tHosts[CPUs]))</f>
        <v/>
      </c>
      <c r="D38" s="65">
        <f>IF(A38="","",IFERROR(AVERAGEIF(tHosts[Cluster],A38,tHosts[Consumed CPU %])/100,0))</f>
        <v/>
      </c>
      <c r="E38" s="65">
        <f>IF(A38="","",IFERROR(1-D38,0))</f>
        <v/>
      </c>
      <c r="F38" s="64">
        <f>IF(A38="","",ROUND(SUMPRODUCT((tHosts[Cluster]=A38)*tHosts[CPUs]*(100-tHosts[Consumed CPU %])/100),0))</f>
        <v/>
      </c>
      <c r="G38" s="64">
        <f>IF(A38="","",ROUND(SUMIF(tHosts[Cluster],A38,tHosts[Memory Size (MB)])/1024,0))</f>
        <v/>
      </c>
      <c r="H38" s="64">
        <f>IF(A38="","",ROUND(SUMPRODUCT((tHosts[Cluster]=A38)*tHosts[Memory Size (MB)]*tHosts[Consumed Memory %]/100)/1024,0))</f>
        <v/>
      </c>
      <c r="I38" s="65">
        <f>IF(A38="","",IFERROR(1-H38/G38,0))</f>
        <v/>
      </c>
      <c r="J38" s="64">
        <f>IF(A38="","",COUNTIF(tVMs[Cluster],A38))</f>
        <v/>
      </c>
      <c r="K38" s="64">
        <f>IF(A38="","",IFERROR(SUMIF(tVMs[Cluster],A38,tVMs[Provisioned Space]),0))</f>
        <v/>
      </c>
      <c r="L38" s="64">
        <f>IF(A38="","",IFERROR(SUMIF(tVMs[Cluster],A38,tVMs[Used Space]),0))</f>
        <v/>
      </c>
      <c r="M38" s="58" t="inlineStr"/>
      <c r="N38" s="59">
        <f>IF(OR(A38="",M38="",M38=0),"",M38*$B$5)</f>
        <v/>
      </c>
      <c r="O38" s="60">
        <f>IF(OR(A38="",M38="",M38=0),"",ROUND(M38*$B$6/1024,1))</f>
        <v/>
      </c>
      <c r="P38" s="59">
        <f>IF(OR(A38="",M38="",M38=0),"",M38*$B$8)</f>
        <v/>
      </c>
      <c r="Q38" s="61">
        <f>IF(OR(A38="",M38="",M38=0),"",IFERROR((F38-N38*$B$5*$B$7/100)/C38,0))</f>
        <v/>
      </c>
      <c r="R38" s="62">
        <f>IF(Q38="","",IF(Q38&lt;$B$9/100,"🔴 Critique",IF(Q38&lt;($B$9+5)/100,"⚠️ Warning","✅ OK")))</f>
        <v/>
      </c>
      <c r="S38" s="61">
        <f>IF(OR(A38="",M38="",M38=0),"",IFERROR((G38-(H38+O38))/G38,0))</f>
        <v/>
      </c>
      <c r="T38" s="62">
        <f>IF(S38="","",IF(S38&lt;$B$10/100,"🔴 Critique",IF(S38&lt;($B$10+5)/100,"⚠️ Warning","✅ OK")))</f>
        <v/>
      </c>
      <c r="U38" s="63">
        <f>IF(A38="","",IFERROR(MAX(0,FLOOR(MIN((F38-$B$9/100*C38)/($B$5*$B$7/100),(G38*(1-$B$10/100)-H38)/($B$6/1024)),1)),""))</f>
        <v/>
      </c>
      <c r="V38" s="63">
        <f>IF(OR(A38="",M38="",M38=0),"",M38*$B$8)</f>
        <v/>
      </c>
    </row>
    <row r="39" ht="22" customHeight="1">
      <c r="A39" s="55">
        <f>IFERROR(INDEX(tHosts[Cluster],MATCH(0,COUNTIF($A$15:$A$38,tHosts[Cluster]),0)),"")</f>
        <v/>
      </c>
      <c r="B39" s="56">
        <f>IF(A39="","",COUNTIF(tHosts[Cluster],A39))</f>
        <v/>
      </c>
      <c r="C39" s="56">
        <f>IF(A39="","",SUMIF(tHosts[Cluster],A39,tHosts[CPUs]))</f>
        <v/>
      </c>
      <c r="D39" s="57">
        <f>IF(A39="","",IFERROR(AVERAGEIF(tHosts[Cluster],A39,tHosts[Consumed CPU %])/100,0))</f>
        <v/>
      </c>
      <c r="E39" s="57">
        <f>IF(A39="","",IFERROR(1-D39,0))</f>
        <v/>
      </c>
      <c r="F39" s="56">
        <f>IF(A39="","",ROUND(SUMPRODUCT((tHosts[Cluster]=A39)*tHosts[CPUs]*(100-tHosts[Consumed CPU %])/100),0))</f>
        <v/>
      </c>
      <c r="G39" s="56">
        <f>IF(A39="","",ROUND(SUMIF(tHosts[Cluster],A39,tHosts[Memory Size (MB)])/1024,0))</f>
        <v/>
      </c>
      <c r="H39" s="56">
        <f>IF(A39="","",ROUND(SUMPRODUCT((tHosts[Cluster]=A39)*tHosts[Memory Size (MB)]*tHosts[Consumed Memory %]/100)/1024,0))</f>
        <v/>
      </c>
      <c r="I39" s="57">
        <f>IF(A39="","",IFERROR(1-H39/G39,0))</f>
        <v/>
      </c>
      <c r="J39" s="56">
        <f>IF(A39="","",COUNTIF(tVMs[Cluster],A39))</f>
        <v/>
      </c>
      <c r="K39" s="56">
        <f>IF(A39="","",IFERROR(SUMIF(tVMs[Cluster],A39,tVMs[Provisioned Space]),0))</f>
        <v/>
      </c>
      <c r="L39" s="56">
        <f>IF(A39="","",IFERROR(SUMIF(tVMs[Cluster],A39,tVMs[Used Space]),0))</f>
        <v/>
      </c>
      <c r="M39" s="58" t="inlineStr"/>
      <c r="N39" s="59">
        <f>IF(OR(A39="",M39="",M39=0),"",M39*$B$5)</f>
        <v/>
      </c>
      <c r="O39" s="60">
        <f>IF(OR(A39="",M39="",M39=0),"",ROUND(M39*$B$6/1024,1))</f>
        <v/>
      </c>
      <c r="P39" s="59">
        <f>IF(OR(A39="",M39="",M39=0),"",M39*$B$8)</f>
        <v/>
      </c>
      <c r="Q39" s="61">
        <f>IF(OR(A39="",M39="",M39=0),"",IFERROR((F39-N39*$B$5*$B$7/100)/C39,0))</f>
        <v/>
      </c>
      <c r="R39" s="62">
        <f>IF(Q39="","",IF(Q39&lt;$B$9/100,"🔴 Critique",IF(Q39&lt;($B$9+5)/100,"⚠️ Warning","✅ OK")))</f>
        <v/>
      </c>
      <c r="S39" s="61">
        <f>IF(OR(A39="",M39="",M39=0),"",IFERROR((G39-(H39+O39))/G39,0))</f>
        <v/>
      </c>
      <c r="T39" s="62">
        <f>IF(S39="","",IF(S39&lt;$B$10/100,"🔴 Critique",IF(S39&lt;($B$10+5)/100,"⚠️ Warning","✅ OK")))</f>
        <v/>
      </c>
      <c r="U39" s="63">
        <f>IF(A39="","",IFERROR(MAX(0,FLOOR(MIN((F39-$B$9/100*C39)/($B$5*$B$7/100),(G39*(1-$B$10/100)-H39)/($B$6/1024)),1)),""))</f>
        <v/>
      </c>
      <c r="V39" s="63">
        <f>IF(OR(A39="",M39="",M39=0),"",M39*$B$8)</f>
        <v/>
      </c>
    </row>
    <row r="40" ht="22" customHeight="1">
      <c r="A40" s="55">
        <f>IFERROR(INDEX(tHosts[Cluster],MATCH(0,COUNTIF($A$15:$A$39,tHosts[Cluster]),0)),"")</f>
        <v/>
      </c>
      <c r="B40" s="64">
        <f>IF(A40="","",COUNTIF(tHosts[Cluster],A40))</f>
        <v/>
      </c>
      <c r="C40" s="64">
        <f>IF(A40="","",SUMIF(tHosts[Cluster],A40,tHosts[CPUs]))</f>
        <v/>
      </c>
      <c r="D40" s="65">
        <f>IF(A40="","",IFERROR(AVERAGEIF(tHosts[Cluster],A40,tHosts[Consumed CPU %])/100,0))</f>
        <v/>
      </c>
      <c r="E40" s="65">
        <f>IF(A40="","",IFERROR(1-D40,0))</f>
        <v/>
      </c>
      <c r="F40" s="64">
        <f>IF(A40="","",ROUND(SUMPRODUCT((tHosts[Cluster]=A40)*tHosts[CPUs]*(100-tHosts[Consumed CPU %])/100),0))</f>
        <v/>
      </c>
      <c r="G40" s="64">
        <f>IF(A40="","",ROUND(SUMIF(tHosts[Cluster],A40,tHosts[Memory Size (MB)])/1024,0))</f>
        <v/>
      </c>
      <c r="H40" s="64">
        <f>IF(A40="","",ROUND(SUMPRODUCT((tHosts[Cluster]=A40)*tHosts[Memory Size (MB)]*tHosts[Consumed Memory %]/100)/1024,0))</f>
        <v/>
      </c>
      <c r="I40" s="65">
        <f>IF(A40="","",IFERROR(1-H40/G40,0))</f>
        <v/>
      </c>
      <c r="J40" s="64">
        <f>IF(A40="","",COUNTIF(tVMs[Cluster],A40))</f>
        <v/>
      </c>
      <c r="K40" s="64">
        <f>IF(A40="","",IFERROR(SUMIF(tVMs[Cluster],A40,tVMs[Provisioned Space]),0))</f>
        <v/>
      </c>
      <c r="L40" s="64">
        <f>IF(A40="","",IFERROR(SUMIF(tVMs[Cluster],A40,tVMs[Used Space]),0))</f>
        <v/>
      </c>
      <c r="M40" s="58" t="inlineStr"/>
      <c r="N40" s="59">
        <f>IF(OR(A40="",M40="",M40=0),"",M40*$B$5)</f>
        <v/>
      </c>
      <c r="O40" s="60">
        <f>IF(OR(A40="",M40="",M40=0),"",ROUND(M40*$B$6/1024,1))</f>
        <v/>
      </c>
      <c r="P40" s="59">
        <f>IF(OR(A40="",M40="",M40=0),"",M40*$B$8)</f>
        <v/>
      </c>
      <c r="Q40" s="61">
        <f>IF(OR(A40="",M40="",M40=0),"",IFERROR((F40-N40*$B$5*$B$7/100)/C40,0))</f>
        <v/>
      </c>
      <c r="R40" s="62">
        <f>IF(Q40="","",IF(Q40&lt;$B$9/100,"🔴 Critique",IF(Q40&lt;($B$9+5)/100,"⚠️ Warning","✅ OK")))</f>
        <v/>
      </c>
      <c r="S40" s="61">
        <f>IF(OR(A40="",M40="",M40=0),"",IFERROR((G40-(H40+O40))/G40,0))</f>
        <v/>
      </c>
      <c r="T40" s="62">
        <f>IF(S40="","",IF(S40&lt;$B$10/100,"🔴 Critique",IF(S40&lt;($B$10+5)/100,"⚠️ Warning","✅ OK")))</f>
        <v/>
      </c>
      <c r="U40" s="63">
        <f>IF(A40="","",IFERROR(MAX(0,FLOOR(MIN((F40-$B$9/100*C40)/($B$5*$B$7/100),(G40*(1-$B$10/100)-H40)/($B$6/1024)),1)),""))</f>
        <v/>
      </c>
      <c r="V40" s="63">
        <f>IF(OR(A40="",M40="",M40=0),"",M40*$B$8)</f>
        <v/>
      </c>
    </row>
    <row r="41" ht="22" customHeight="1">
      <c r="A41" s="55">
        <f>IFERROR(INDEX(tHosts[Cluster],MATCH(0,COUNTIF($A$15:$A$40,tHosts[Cluster]),0)),"")</f>
        <v/>
      </c>
      <c r="B41" s="56">
        <f>IF(A41="","",COUNTIF(tHosts[Cluster],A41))</f>
        <v/>
      </c>
      <c r="C41" s="56">
        <f>IF(A41="","",SUMIF(tHosts[Cluster],A41,tHosts[CPUs]))</f>
        <v/>
      </c>
      <c r="D41" s="57">
        <f>IF(A41="","",IFERROR(AVERAGEIF(tHosts[Cluster],A41,tHosts[Consumed CPU %])/100,0))</f>
        <v/>
      </c>
      <c r="E41" s="57">
        <f>IF(A41="","",IFERROR(1-D41,0))</f>
        <v/>
      </c>
      <c r="F41" s="56">
        <f>IF(A41="","",ROUND(SUMPRODUCT((tHosts[Cluster]=A41)*tHosts[CPUs]*(100-tHosts[Consumed CPU %])/100),0))</f>
        <v/>
      </c>
      <c r="G41" s="56">
        <f>IF(A41="","",ROUND(SUMIF(tHosts[Cluster],A41,tHosts[Memory Size (MB)])/1024,0))</f>
        <v/>
      </c>
      <c r="H41" s="56">
        <f>IF(A41="","",ROUND(SUMPRODUCT((tHosts[Cluster]=A41)*tHosts[Memory Size (MB)]*tHosts[Consumed Memory %]/100)/1024,0))</f>
        <v/>
      </c>
      <c r="I41" s="57">
        <f>IF(A41="","",IFERROR(1-H41/G41,0))</f>
        <v/>
      </c>
      <c r="J41" s="56">
        <f>IF(A41="","",COUNTIF(tVMs[Cluster],A41))</f>
        <v/>
      </c>
      <c r="K41" s="56">
        <f>IF(A41="","",IFERROR(SUMIF(tVMs[Cluster],A41,tVMs[Provisioned Space]),0))</f>
        <v/>
      </c>
      <c r="L41" s="56">
        <f>IF(A41="","",IFERROR(SUMIF(tVMs[Cluster],A41,tVMs[Used Space]),0))</f>
        <v/>
      </c>
      <c r="M41" s="58" t="inlineStr"/>
      <c r="N41" s="59">
        <f>IF(OR(A41="",M41="",M41=0),"",M41*$B$5)</f>
        <v/>
      </c>
      <c r="O41" s="60">
        <f>IF(OR(A41="",M41="",M41=0),"",ROUND(M41*$B$6/1024,1))</f>
        <v/>
      </c>
      <c r="P41" s="59">
        <f>IF(OR(A41="",M41="",M41=0),"",M41*$B$8)</f>
        <v/>
      </c>
      <c r="Q41" s="61">
        <f>IF(OR(A41="",M41="",M41=0),"",IFERROR((F41-N41*$B$5*$B$7/100)/C41,0))</f>
        <v/>
      </c>
      <c r="R41" s="62">
        <f>IF(Q41="","",IF(Q41&lt;$B$9/100,"🔴 Critique",IF(Q41&lt;($B$9+5)/100,"⚠️ Warning","✅ OK")))</f>
        <v/>
      </c>
      <c r="S41" s="61">
        <f>IF(OR(A41="",M41="",M41=0),"",IFERROR((G41-(H41+O41))/G41,0))</f>
        <v/>
      </c>
      <c r="T41" s="62">
        <f>IF(S41="","",IF(S41&lt;$B$10/100,"🔴 Critique",IF(S41&lt;($B$10+5)/100,"⚠️ Warning","✅ OK")))</f>
        <v/>
      </c>
      <c r="U41" s="63">
        <f>IF(A41="","",IFERROR(MAX(0,FLOOR(MIN((F41-$B$9/100*C41)/($B$5*$B$7/100),(G41*(1-$B$10/100)-H41)/($B$6/1024)),1)),""))</f>
        <v/>
      </c>
      <c r="V41" s="63">
        <f>IF(OR(A41="",M41="",M41=0),"",M41*$B$8)</f>
        <v/>
      </c>
    </row>
    <row r="42" ht="22" customHeight="1">
      <c r="A42" s="55">
        <f>IFERROR(INDEX(tHosts[Cluster],MATCH(0,COUNTIF($A$15:$A$41,tHosts[Cluster]),0)),"")</f>
        <v/>
      </c>
      <c r="B42" s="64">
        <f>IF(A42="","",COUNTIF(tHosts[Cluster],A42))</f>
        <v/>
      </c>
      <c r="C42" s="64">
        <f>IF(A42="","",SUMIF(tHosts[Cluster],A42,tHosts[CPUs]))</f>
        <v/>
      </c>
      <c r="D42" s="65">
        <f>IF(A42="","",IFERROR(AVERAGEIF(tHosts[Cluster],A42,tHosts[Consumed CPU %])/100,0))</f>
        <v/>
      </c>
      <c r="E42" s="65">
        <f>IF(A42="","",IFERROR(1-D42,0))</f>
        <v/>
      </c>
      <c r="F42" s="64">
        <f>IF(A42="","",ROUND(SUMPRODUCT((tHosts[Cluster]=A42)*tHosts[CPUs]*(100-tHosts[Consumed CPU %])/100),0))</f>
        <v/>
      </c>
      <c r="G42" s="64">
        <f>IF(A42="","",ROUND(SUMIF(tHosts[Cluster],A42,tHosts[Memory Size (MB)])/1024,0))</f>
        <v/>
      </c>
      <c r="H42" s="64">
        <f>IF(A42="","",ROUND(SUMPRODUCT((tHosts[Cluster]=A42)*tHosts[Memory Size (MB)]*tHosts[Consumed Memory %]/100)/1024,0))</f>
        <v/>
      </c>
      <c r="I42" s="65">
        <f>IF(A42="","",IFERROR(1-H42/G42,0))</f>
        <v/>
      </c>
      <c r="J42" s="64">
        <f>IF(A42="","",COUNTIF(tVMs[Cluster],A42))</f>
        <v/>
      </c>
      <c r="K42" s="64">
        <f>IF(A42="","",IFERROR(SUMIF(tVMs[Cluster],A42,tVMs[Provisioned Space]),0))</f>
        <v/>
      </c>
      <c r="L42" s="64">
        <f>IF(A42="","",IFERROR(SUMIF(tVMs[Cluster],A42,tVMs[Used Space]),0))</f>
        <v/>
      </c>
      <c r="M42" s="58" t="inlineStr"/>
      <c r="N42" s="59">
        <f>IF(OR(A42="",M42="",M42=0),"",M42*$B$5)</f>
        <v/>
      </c>
      <c r="O42" s="60">
        <f>IF(OR(A42="",M42="",M42=0),"",ROUND(M42*$B$6/1024,1))</f>
        <v/>
      </c>
      <c r="P42" s="59">
        <f>IF(OR(A42="",M42="",M42=0),"",M42*$B$8)</f>
        <v/>
      </c>
      <c r="Q42" s="61">
        <f>IF(OR(A42="",M42="",M42=0),"",IFERROR((F42-N42*$B$5*$B$7/100)/C42,0))</f>
        <v/>
      </c>
      <c r="R42" s="62">
        <f>IF(Q42="","",IF(Q42&lt;$B$9/100,"🔴 Critique",IF(Q42&lt;($B$9+5)/100,"⚠️ Warning","✅ OK")))</f>
        <v/>
      </c>
      <c r="S42" s="61">
        <f>IF(OR(A42="",M42="",M42=0),"",IFERROR((G42-(H42+O42))/G42,0))</f>
        <v/>
      </c>
      <c r="T42" s="62">
        <f>IF(S42="","",IF(S42&lt;$B$10/100,"🔴 Critique",IF(S42&lt;($B$10+5)/100,"⚠️ Warning","✅ OK")))</f>
        <v/>
      </c>
      <c r="U42" s="63">
        <f>IF(A42="","",IFERROR(MAX(0,FLOOR(MIN((F42-$B$9/100*C42)/($B$5*$B$7/100),(G42*(1-$B$10/100)-H42)/($B$6/1024)),1)),""))</f>
        <v/>
      </c>
      <c r="V42" s="63">
        <f>IF(OR(A42="",M42="",M42=0),"",M42*$B$8)</f>
        <v/>
      </c>
    </row>
    <row r="43" ht="22" customHeight="1">
      <c r="A43" s="55">
        <f>IFERROR(INDEX(tHosts[Cluster],MATCH(0,COUNTIF($A$15:$A$42,tHosts[Cluster]),0)),"")</f>
        <v/>
      </c>
      <c r="B43" s="56">
        <f>IF(A43="","",COUNTIF(tHosts[Cluster],A43))</f>
        <v/>
      </c>
      <c r="C43" s="56">
        <f>IF(A43="","",SUMIF(tHosts[Cluster],A43,tHosts[CPUs]))</f>
        <v/>
      </c>
      <c r="D43" s="57">
        <f>IF(A43="","",IFERROR(AVERAGEIF(tHosts[Cluster],A43,tHosts[Consumed CPU %])/100,0))</f>
        <v/>
      </c>
      <c r="E43" s="57">
        <f>IF(A43="","",IFERROR(1-D43,0))</f>
        <v/>
      </c>
      <c r="F43" s="56">
        <f>IF(A43="","",ROUND(SUMPRODUCT((tHosts[Cluster]=A43)*tHosts[CPUs]*(100-tHosts[Consumed CPU %])/100),0))</f>
        <v/>
      </c>
      <c r="G43" s="56">
        <f>IF(A43="","",ROUND(SUMIF(tHosts[Cluster],A43,tHosts[Memory Size (MB)])/1024,0))</f>
        <v/>
      </c>
      <c r="H43" s="56">
        <f>IF(A43="","",ROUND(SUMPRODUCT((tHosts[Cluster]=A43)*tHosts[Memory Size (MB)]*tHosts[Consumed Memory %]/100)/1024,0))</f>
        <v/>
      </c>
      <c r="I43" s="57">
        <f>IF(A43="","",IFERROR(1-H43/G43,0))</f>
        <v/>
      </c>
      <c r="J43" s="56">
        <f>IF(A43="","",COUNTIF(tVMs[Cluster],A43))</f>
        <v/>
      </c>
      <c r="K43" s="56">
        <f>IF(A43="","",IFERROR(SUMIF(tVMs[Cluster],A43,tVMs[Provisioned Space]),0))</f>
        <v/>
      </c>
      <c r="L43" s="56">
        <f>IF(A43="","",IFERROR(SUMIF(tVMs[Cluster],A43,tVMs[Used Space]),0))</f>
        <v/>
      </c>
      <c r="M43" s="58" t="inlineStr"/>
      <c r="N43" s="59">
        <f>IF(OR(A43="",M43="",M43=0),"",M43*$B$5)</f>
        <v/>
      </c>
      <c r="O43" s="60">
        <f>IF(OR(A43="",M43="",M43=0),"",ROUND(M43*$B$6/1024,1))</f>
        <v/>
      </c>
      <c r="P43" s="59">
        <f>IF(OR(A43="",M43="",M43=0),"",M43*$B$8)</f>
        <v/>
      </c>
      <c r="Q43" s="61">
        <f>IF(OR(A43="",M43="",M43=0),"",IFERROR((F43-N43*$B$5*$B$7/100)/C43,0))</f>
        <v/>
      </c>
      <c r="R43" s="62">
        <f>IF(Q43="","",IF(Q43&lt;$B$9/100,"🔴 Critique",IF(Q43&lt;($B$9+5)/100,"⚠️ Warning","✅ OK")))</f>
        <v/>
      </c>
      <c r="S43" s="61">
        <f>IF(OR(A43="",M43="",M43=0),"",IFERROR((G43-(H43+O43))/G43,0))</f>
        <v/>
      </c>
      <c r="T43" s="62">
        <f>IF(S43="","",IF(S43&lt;$B$10/100,"🔴 Critique",IF(S43&lt;($B$10+5)/100,"⚠️ Warning","✅ OK")))</f>
        <v/>
      </c>
      <c r="U43" s="63">
        <f>IF(A43="","",IFERROR(MAX(0,FLOOR(MIN((F43-$B$9/100*C43)/($B$5*$B$7/100),(G43*(1-$B$10/100)-H43)/($B$6/1024)),1)),""))</f>
        <v/>
      </c>
      <c r="V43" s="63">
        <f>IF(OR(A43="",M43="",M43=0),"",M43*$B$8)</f>
        <v/>
      </c>
    </row>
    <row r="44" ht="22" customHeight="1">
      <c r="A44" s="55">
        <f>IFERROR(INDEX(tHosts[Cluster],MATCH(0,COUNTIF($A$15:$A$43,tHosts[Cluster]),0)),"")</f>
        <v/>
      </c>
      <c r="B44" s="64">
        <f>IF(A44="","",COUNTIF(tHosts[Cluster],A44))</f>
        <v/>
      </c>
      <c r="C44" s="64">
        <f>IF(A44="","",SUMIF(tHosts[Cluster],A44,tHosts[CPUs]))</f>
        <v/>
      </c>
      <c r="D44" s="65">
        <f>IF(A44="","",IFERROR(AVERAGEIF(tHosts[Cluster],A44,tHosts[Consumed CPU %])/100,0))</f>
        <v/>
      </c>
      <c r="E44" s="65">
        <f>IF(A44="","",IFERROR(1-D44,0))</f>
        <v/>
      </c>
      <c r="F44" s="64">
        <f>IF(A44="","",ROUND(SUMPRODUCT((tHosts[Cluster]=A44)*tHosts[CPUs]*(100-tHosts[Consumed CPU %])/100),0))</f>
        <v/>
      </c>
      <c r="G44" s="64">
        <f>IF(A44="","",ROUND(SUMIF(tHosts[Cluster],A44,tHosts[Memory Size (MB)])/1024,0))</f>
        <v/>
      </c>
      <c r="H44" s="64">
        <f>IF(A44="","",ROUND(SUMPRODUCT((tHosts[Cluster]=A44)*tHosts[Memory Size (MB)]*tHosts[Consumed Memory %]/100)/1024,0))</f>
        <v/>
      </c>
      <c r="I44" s="65">
        <f>IF(A44="","",IFERROR(1-H44/G44,0))</f>
        <v/>
      </c>
      <c r="J44" s="64">
        <f>IF(A44="","",COUNTIF(tVMs[Cluster],A44))</f>
        <v/>
      </c>
      <c r="K44" s="64">
        <f>IF(A44="","",IFERROR(SUMIF(tVMs[Cluster],A44,tVMs[Provisioned Space]),0))</f>
        <v/>
      </c>
      <c r="L44" s="64">
        <f>IF(A44="","",IFERROR(SUMIF(tVMs[Cluster],A44,tVMs[Used Space]),0))</f>
        <v/>
      </c>
      <c r="M44" s="58" t="inlineStr"/>
      <c r="N44" s="59">
        <f>IF(OR(A44="",M44="",M44=0),"",M44*$B$5)</f>
        <v/>
      </c>
      <c r="O44" s="60">
        <f>IF(OR(A44="",M44="",M44=0),"",ROUND(M44*$B$6/1024,1))</f>
        <v/>
      </c>
      <c r="P44" s="59">
        <f>IF(OR(A44="",M44="",M44=0),"",M44*$B$8)</f>
        <v/>
      </c>
      <c r="Q44" s="61">
        <f>IF(OR(A44="",M44="",M44=0),"",IFERROR((F44-N44*$B$5*$B$7/100)/C44,0))</f>
        <v/>
      </c>
      <c r="R44" s="62">
        <f>IF(Q44="","",IF(Q44&lt;$B$9/100,"🔴 Critique",IF(Q44&lt;($B$9+5)/100,"⚠️ Warning","✅ OK")))</f>
        <v/>
      </c>
      <c r="S44" s="61">
        <f>IF(OR(A44="",M44="",M44=0),"",IFERROR((G44-(H44+O44))/G44,0))</f>
        <v/>
      </c>
      <c r="T44" s="62">
        <f>IF(S44="","",IF(S44&lt;$B$10/100,"🔴 Critique",IF(S44&lt;($B$10+5)/100,"⚠️ Warning","✅ OK")))</f>
        <v/>
      </c>
      <c r="U44" s="63">
        <f>IF(A44="","",IFERROR(MAX(0,FLOOR(MIN((F44-$B$9/100*C44)/($B$5*$B$7/100),(G44*(1-$B$10/100)-H44)/($B$6/1024)),1)),""))</f>
        <v/>
      </c>
      <c r="V44" s="63">
        <f>IF(OR(A44="",M44="",M44=0),"",M44*$B$8)</f>
        <v/>
      </c>
    </row>
    <row r="45" ht="22" customHeight="1">
      <c r="A45" s="55">
        <f>IFERROR(INDEX(tHosts[Cluster],MATCH(0,COUNTIF($A$15:$A$44,tHosts[Cluster]),0)),"")</f>
        <v/>
      </c>
      <c r="B45" s="56">
        <f>IF(A45="","",COUNTIF(tHosts[Cluster],A45))</f>
        <v/>
      </c>
      <c r="C45" s="56">
        <f>IF(A45="","",SUMIF(tHosts[Cluster],A45,tHosts[CPUs]))</f>
        <v/>
      </c>
      <c r="D45" s="57">
        <f>IF(A45="","",IFERROR(AVERAGEIF(tHosts[Cluster],A45,tHosts[Consumed CPU %])/100,0))</f>
        <v/>
      </c>
      <c r="E45" s="57">
        <f>IF(A45="","",IFERROR(1-D45,0))</f>
        <v/>
      </c>
      <c r="F45" s="56">
        <f>IF(A45="","",ROUND(SUMPRODUCT((tHosts[Cluster]=A45)*tHosts[CPUs]*(100-tHosts[Consumed CPU %])/100),0))</f>
        <v/>
      </c>
      <c r="G45" s="56">
        <f>IF(A45="","",ROUND(SUMIF(tHosts[Cluster],A45,tHosts[Memory Size (MB)])/1024,0))</f>
        <v/>
      </c>
      <c r="H45" s="56">
        <f>IF(A45="","",ROUND(SUMPRODUCT((tHosts[Cluster]=A45)*tHosts[Memory Size (MB)]*tHosts[Consumed Memory %]/100)/1024,0))</f>
        <v/>
      </c>
      <c r="I45" s="57">
        <f>IF(A45="","",IFERROR(1-H45/G45,0))</f>
        <v/>
      </c>
      <c r="J45" s="56">
        <f>IF(A45="","",COUNTIF(tVMs[Cluster],A45))</f>
        <v/>
      </c>
      <c r="K45" s="56">
        <f>IF(A45="","",IFERROR(SUMIF(tVMs[Cluster],A45,tVMs[Provisioned Space]),0))</f>
        <v/>
      </c>
      <c r="L45" s="56">
        <f>IF(A45="","",IFERROR(SUMIF(tVMs[Cluster],A45,tVMs[Used Space]),0))</f>
        <v/>
      </c>
      <c r="M45" s="58" t="inlineStr"/>
      <c r="N45" s="59">
        <f>IF(OR(A45="",M45="",M45=0),"",M45*$B$5)</f>
        <v/>
      </c>
      <c r="O45" s="60">
        <f>IF(OR(A45="",M45="",M45=0),"",ROUND(M45*$B$6/1024,1))</f>
        <v/>
      </c>
      <c r="P45" s="59">
        <f>IF(OR(A45="",M45="",M45=0),"",M45*$B$8)</f>
        <v/>
      </c>
      <c r="Q45" s="61">
        <f>IF(OR(A45="",M45="",M45=0),"",IFERROR((F45-N45*$B$5*$B$7/100)/C45,0))</f>
        <v/>
      </c>
      <c r="R45" s="62">
        <f>IF(Q45="","",IF(Q45&lt;$B$9/100,"🔴 Critique",IF(Q45&lt;($B$9+5)/100,"⚠️ Warning","✅ OK")))</f>
        <v/>
      </c>
      <c r="S45" s="61">
        <f>IF(OR(A45="",M45="",M45=0),"",IFERROR((G45-(H45+O45))/G45,0))</f>
        <v/>
      </c>
      <c r="T45" s="62">
        <f>IF(S45="","",IF(S45&lt;$B$10/100,"🔴 Critique",IF(S45&lt;($B$10+5)/100,"⚠️ Warning","✅ OK")))</f>
        <v/>
      </c>
      <c r="U45" s="63">
        <f>IF(A45="","",IFERROR(MAX(0,FLOOR(MIN((F45-$B$9/100*C45)/($B$5*$B$7/100),(G45*(1-$B$10/100)-H45)/($B$6/1024)),1)),""))</f>
        <v/>
      </c>
      <c r="V45" s="63">
        <f>IF(OR(A45="",M45="",M45=0),"",M45*$B$8)</f>
        <v/>
      </c>
    </row>
    <row r="46" ht="22" customHeight="1">
      <c r="A46" s="55">
        <f>IFERROR(INDEX(tHosts[Cluster],MATCH(0,COUNTIF($A$15:$A$45,tHosts[Cluster]),0)),"")</f>
        <v/>
      </c>
      <c r="B46" s="64">
        <f>IF(A46="","",COUNTIF(tHosts[Cluster],A46))</f>
        <v/>
      </c>
      <c r="C46" s="64">
        <f>IF(A46="","",SUMIF(tHosts[Cluster],A46,tHosts[CPUs]))</f>
        <v/>
      </c>
      <c r="D46" s="65">
        <f>IF(A46="","",IFERROR(AVERAGEIF(tHosts[Cluster],A46,tHosts[Consumed CPU %])/100,0))</f>
        <v/>
      </c>
      <c r="E46" s="65">
        <f>IF(A46="","",IFERROR(1-D46,0))</f>
        <v/>
      </c>
      <c r="F46" s="64">
        <f>IF(A46="","",ROUND(SUMPRODUCT((tHosts[Cluster]=A46)*tHosts[CPUs]*(100-tHosts[Consumed CPU %])/100),0))</f>
        <v/>
      </c>
      <c r="G46" s="64">
        <f>IF(A46="","",ROUND(SUMIF(tHosts[Cluster],A46,tHosts[Memory Size (MB)])/1024,0))</f>
        <v/>
      </c>
      <c r="H46" s="64">
        <f>IF(A46="","",ROUND(SUMPRODUCT((tHosts[Cluster]=A46)*tHosts[Memory Size (MB)]*tHosts[Consumed Memory %]/100)/1024,0))</f>
        <v/>
      </c>
      <c r="I46" s="65">
        <f>IF(A46="","",IFERROR(1-H46/G46,0))</f>
        <v/>
      </c>
      <c r="J46" s="64">
        <f>IF(A46="","",COUNTIF(tVMs[Cluster],A46))</f>
        <v/>
      </c>
      <c r="K46" s="64">
        <f>IF(A46="","",IFERROR(SUMIF(tVMs[Cluster],A46,tVMs[Provisioned Space]),0))</f>
        <v/>
      </c>
      <c r="L46" s="64">
        <f>IF(A46="","",IFERROR(SUMIF(tVMs[Cluster],A46,tVMs[Used Space]),0))</f>
        <v/>
      </c>
      <c r="M46" s="58" t="inlineStr"/>
      <c r="N46" s="59">
        <f>IF(OR(A46="",M46="",M46=0),"",M46*$B$5)</f>
        <v/>
      </c>
      <c r="O46" s="60">
        <f>IF(OR(A46="",M46="",M46=0),"",ROUND(M46*$B$6/1024,1))</f>
        <v/>
      </c>
      <c r="P46" s="59">
        <f>IF(OR(A46="",M46="",M46=0),"",M46*$B$8)</f>
        <v/>
      </c>
      <c r="Q46" s="61">
        <f>IF(OR(A46="",M46="",M46=0),"",IFERROR((F46-N46*$B$5*$B$7/100)/C46,0))</f>
        <v/>
      </c>
      <c r="R46" s="62">
        <f>IF(Q46="","",IF(Q46&lt;$B$9/100,"🔴 Critique",IF(Q46&lt;($B$9+5)/100,"⚠️ Warning","✅ OK")))</f>
        <v/>
      </c>
      <c r="S46" s="61">
        <f>IF(OR(A46="",M46="",M46=0),"",IFERROR((G46-(H46+O46))/G46,0))</f>
        <v/>
      </c>
      <c r="T46" s="62">
        <f>IF(S46="","",IF(S46&lt;$B$10/100,"🔴 Critique",IF(S46&lt;($B$10+5)/100,"⚠️ Warning","✅ OK")))</f>
        <v/>
      </c>
      <c r="U46" s="63">
        <f>IF(A46="","",IFERROR(MAX(0,FLOOR(MIN((F46-$B$9/100*C46)/($B$5*$B$7/100),(G46*(1-$B$10/100)-H46)/($B$6/1024)),1)),""))</f>
        <v/>
      </c>
      <c r="V46" s="63">
        <f>IF(OR(A46="",M46="",M46=0),"",M46*$B$8)</f>
        <v/>
      </c>
    </row>
    <row r="47" ht="22" customHeight="1">
      <c r="A47" s="55">
        <f>IFERROR(INDEX(tHosts[Cluster],MATCH(0,COUNTIF($A$15:$A$46,tHosts[Cluster]),0)),"")</f>
        <v/>
      </c>
      <c r="B47" s="56">
        <f>IF(A47="","",COUNTIF(tHosts[Cluster],A47))</f>
        <v/>
      </c>
      <c r="C47" s="56">
        <f>IF(A47="","",SUMIF(tHosts[Cluster],A47,tHosts[CPUs]))</f>
        <v/>
      </c>
      <c r="D47" s="57">
        <f>IF(A47="","",IFERROR(AVERAGEIF(tHosts[Cluster],A47,tHosts[Consumed CPU %])/100,0))</f>
        <v/>
      </c>
      <c r="E47" s="57">
        <f>IF(A47="","",IFERROR(1-D47,0))</f>
        <v/>
      </c>
      <c r="F47" s="56">
        <f>IF(A47="","",ROUND(SUMPRODUCT((tHosts[Cluster]=A47)*tHosts[CPUs]*(100-tHosts[Consumed CPU %])/100),0))</f>
        <v/>
      </c>
      <c r="G47" s="56">
        <f>IF(A47="","",ROUND(SUMIF(tHosts[Cluster],A47,tHosts[Memory Size (MB)])/1024,0))</f>
        <v/>
      </c>
      <c r="H47" s="56">
        <f>IF(A47="","",ROUND(SUMPRODUCT((tHosts[Cluster]=A47)*tHosts[Memory Size (MB)]*tHosts[Consumed Memory %]/100)/1024,0))</f>
        <v/>
      </c>
      <c r="I47" s="57">
        <f>IF(A47="","",IFERROR(1-H47/G47,0))</f>
        <v/>
      </c>
      <c r="J47" s="56">
        <f>IF(A47="","",COUNTIF(tVMs[Cluster],A47))</f>
        <v/>
      </c>
      <c r="K47" s="56">
        <f>IF(A47="","",IFERROR(SUMIF(tVMs[Cluster],A47,tVMs[Provisioned Space]),0))</f>
        <v/>
      </c>
      <c r="L47" s="56">
        <f>IF(A47="","",IFERROR(SUMIF(tVMs[Cluster],A47,tVMs[Used Space]),0))</f>
        <v/>
      </c>
      <c r="M47" s="58" t="inlineStr"/>
      <c r="N47" s="59">
        <f>IF(OR(A47="",M47="",M47=0),"",M47*$B$5)</f>
        <v/>
      </c>
      <c r="O47" s="60">
        <f>IF(OR(A47="",M47="",M47=0),"",ROUND(M47*$B$6/1024,1))</f>
        <v/>
      </c>
      <c r="P47" s="59">
        <f>IF(OR(A47="",M47="",M47=0),"",M47*$B$8)</f>
        <v/>
      </c>
      <c r="Q47" s="61">
        <f>IF(OR(A47="",M47="",M47=0),"",IFERROR((F47-N47*$B$5*$B$7/100)/C47,0))</f>
        <v/>
      </c>
      <c r="R47" s="62">
        <f>IF(Q47="","",IF(Q47&lt;$B$9/100,"🔴 Critique",IF(Q47&lt;($B$9+5)/100,"⚠️ Warning","✅ OK")))</f>
        <v/>
      </c>
      <c r="S47" s="61">
        <f>IF(OR(A47="",M47="",M47=0),"",IFERROR((G47-(H47+O47))/G47,0))</f>
        <v/>
      </c>
      <c r="T47" s="62">
        <f>IF(S47="","",IF(S47&lt;$B$10/100,"🔴 Critique",IF(S47&lt;($B$10+5)/100,"⚠️ Warning","✅ OK")))</f>
        <v/>
      </c>
      <c r="U47" s="63">
        <f>IF(A47="","",IFERROR(MAX(0,FLOOR(MIN((F47-$B$9/100*C47)/($B$5*$B$7/100),(G47*(1-$B$10/100)-H47)/($B$6/1024)),1)),""))</f>
        <v/>
      </c>
      <c r="V47" s="63">
        <f>IF(OR(A47="",M47="",M47=0),"",M47*$B$8)</f>
        <v/>
      </c>
    </row>
    <row r="48" ht="22" customHeight="1">
      <c r="A48" s="55">
        <f>IFERROR(INDEX(tHosts[Cluster],MATCH(0,COUNTIF($A$15:$A$47,tHosts[Cluster]),0)),"")</f>
        <v/>
      </c>
      <c r="B48" s="64">
        <f>IF(A48="","",COUNTIF(tHosts[Cluster],A48))</f>
        <v/>
      </c>
      <c r="C48" s="64">
        <f>IF(A48="","",SUMIF(tHosts[Cluster],A48,tHosts[CPUs]))</f>
        <v/>
      </c>
      <c r="D48" s="65">
        <f>IF(A48="","",IFERROR(AVERAGEIF(tHosts[Cluster],A48,tHosts[Consumed CPU %])/100,0))</f>
        <v/>
      </c>
      <c r="E48" s="65">
        <f>IF(A48="","",IFERROR(1-D48,0))</f>
        <v/>
      </c>
      <c r="F48" s="64">
        <f>IF(A48="","",ROUND(SUMPRODUCT((tHosts[Cluster]=A48)*tHosts[CPUs]*(100-tHosts[Consumed CPU %])/100),0))</f>
        <v/>
      </c>
      <c r="G48" s="64">
        <f>IF(A48="","",ROUND(SUMIF(tHosts[Cluster],A48,tHosts[Memory Size (MB)])/1024,0))</f>
        <v/>
      </c>
      <c r="H48" s="64">
        <f>IF(A48="","",ROUND(SUMPRODUCT((tHosts[Cluster]=A48)*tHosts[Memory Size (MB)]*tHosts[Consumed Memory %]/100)/1024,0))</f>
        <v/>
      </c>
      <c r="I48" s="65">
        <f>IF(A48="","",IFERROR(1-H48/G48,0))</f>
        <v/>
      </c>
      <c r="J48" s="64">
        <f>IF(A48="","",COUNTIF(tVMs[Cluster],A48))</f>
        <v/>
      </c>
      <c r="K48" s="64">
        <f>IF(A48="","",IFERROR(SUMIF(tVMs[Cluster],A48,tVMs[Provisioned Space]),0))</f>
        <v/>
      </c>
      <c r="L48" s="64">
        <f>IF(A48="","",IFERROR(SUMIF(tVMs[Cluster],A48,tVMs[Used Space]),0))</f>
        <v/>
      </c>
      <c r="M48" s="58" t="inlineStr"/>
      <c r="N48" s="59">
        <f>IF(OR(A48="",M48="",M48=0),"",M48*$B$5)</f>
        <v/>
      </c>
      <c r="O48" s="60">
        <f>IF(OR(A48="",M48="",M48=0),"",ROUND(M48*$B$6/1024,1))</f>
        <v/>
      </c>
      <c r="P48" s="59">
        <f>IF(OR(A48="",M48="",M48=0),"",M48*$B$8)</f>
        <v/>
      </c>
      <c r="Q48" s="61">
        <f>IF(OR(A48="",M48="",M48=0),"",IFERROR((F48-N48*$B$5*$B$7/100)/C48,0))</f>
        <v/>
      </c>
      <c r="R48" s="62">
        <f>IF(Q48="","",IF(Q48&lt;$B$9/100,"🔴 Critique",IF(Q48&lt;($B$9+5)/100,"⚠️ Warning","✅ OK")))</f>
        <v/>
      </c>
      <c r="S48" s="61">
        <f>IF(OR(A48="",M48="",M48=0),"",IFERROR((G48-(H48+O48))/G48,0))</f>
        <v/>
      </c>
      <c r="T48" s="62">
        <f>IF(S48="","",IF(S48&lt;$B$10/100,"🔴 Critique",IF(S48&lt;($B$10+5)/100,"⚠️ Warning","✅ OK")))</f>
        <v/>
      </c>
      <c r="U48" s="63">
        <f>IF(A48="","",IFERROR(MAX(0,FLOOR(MIN((F48-$B$9/100*C48)/($B$5*$B$7/100),(G48*(1-$B$10/100)-H48)/($B$6/1024)),1)),""))</f>
        <v/>
      </c>
      <c r="V48" s="63">
        <f>IF(OR(A48="",M48="",M48=0),"",M48*$B$8)</f>
        <v/>
      </c>
    </row>
    <row r="49" ht="22" customHeight="1">
      <c r="A49" s="55">
        <f>IFERROR(INDEX(tHosts[Cluster],MATCH(0,COUNTIF($A$15:$A$48,tHosts[Cluster]),0)),"")</f>
        <v/>
      </c>
      <c r="B49" s="56">
        <f>IF(A49="","",COUNTIF(tHosts[Cluster],A49))</f>
        <v/>
      </c>
      <c r="C49" s="56">
        <f>IF(A49="","",SUMIF(tHosts[Cluster],A49,tHosts[CPUs]))</f>
        <v/>
      </c>
      <c r="D49" s="57">
        <f>IF(A49="","",IFERROR(AVERAGEIF(tHosts[Cluster],A49,tHosts[Consumed CPU %])/100,0))</f>
        <v/>
      </c>
      <c r="E49" s="57">
        <f>IF(A49="","",IFERROR(1-D49,0))</f>
        <v/>
      </c>
      <c r="F49" s="56">
        <f>IF(A49="","",ROUND(SUMPRODUCT((tHosts[Cluster]=A49)*tHosts[CPUs]*(100-tHosts[Consumed CPU %])/100),0))</f>
        <v/>
      </c>
      <c r="G49" s="56">
        <f>IF(A49="","",ROUND(SUMIF(tHosts[Cluster],A49,tHosts[Memory Size (MB)])/1024,0))</f>
        <v/>
      </c>
      <c r="H49" s="56">
        <f>IF(A49="","",ROUND(SUMPRODUCT((tHosts[Cluster]=A49)*tHosts[Memory Size (MB)]*tHosts[Consumed Memory %]/100)/1024,0))</f>
        <v/>
      </c>
      <c r="I49" s="57">
        <f>IF(A49="","",IFERROR(1-H49/G49,0))</f>
        <v/>
      </c>
      <c r="J49" s="56">
        <f>IF(A49="","",COUNTIF(tVMs[Cluster],A49))</f>
        <v/>
      </c>
      <c r="K49" s="56">
        <f>IF(A49="","",IFERROR(SUMIF(tVMs[Cluster],A49,tVMs[Provisioned Space]),0))</f>
        <v/>
      </c>
      <c r="L49" s="56">
        <f>IF(A49="","",IFERROR(SUMIF(tVMs[Cluster],A49,tVMs[Used Space]),0))</f>
        <v/>
      </c>
      <c r="M49" s="58" t="inlineStr"/>
      <c r="N49" s="59">
        <f>IF(OR(A49="",M49="",M49=0),"",M49*$B$5)</f>
        <v/>
      </c>
      <c r="O49" s="60">
        <f>IF(OR(A49="",M49="",M49=0),"",ROUND(M49*$B$6/1024,1))</f>
        <v/>
      </c>
      <c r="P49" s="59">
        <f>IF(OR(A49="",M49="",M49=0),"",M49*$B$8)</f>
        <v/>
      </c>
      <c r="Q49" s="61">
        <f>IF(OR(A49="",M49="",M49=0),"",IFERROR((F49-N49*$B$5*$B$7/100)/C49,0))</f>
        <v/>
      </c>
      <c r="R49" s="62">
        <f>IF(Q49="","",IF(Q49&lt;$B$9/100,"🔴 Critique",IF(Q49&lt;($B$9+5)/100,"⚠️ Warning","✅ OK")))</f>
        <v/>
      </c>
      <c r="S49" s="61">
        <f>IF(OR(A49="",M49="",M49=0),"",IFERROR((G49-(H49+O49))/G49,0))</f>
        <v/>
      </c>
      <c r="T49" s="62">
        <f>IF(S49="","",IF(S49&lt;$B$10/100,"🔴 Critique",IF(S49&lt;($B$10+5)/100,"⚠️ Warning","✅ OK")))</f>
        <v/>
      </c>
      <c r="U49" s="63">
        <f>IF(A49="","",IFERROR(MAX(0,FLOOR(MIN((F49-$B$9/100*C49)/($B$5*$B$7/100),(G49*(1-$B$10/100)-H49)/($B$6/1024)),1)),""))</f>
        <v/>
      </c>
      <c r="V49" s="63">
        <f>IF(OR(A49="",M49="",M49=0),"",M49*$B$8)</f>
        <v/>
      </c>
    </row>
    <row r="50" ht="22" customHeight="1">
      <c r="A50" s="55">
        <f>IFERROR(INDEX(tHosts[Cluster],MATCH(0,COUNTIF($A$15:$A$49,tHosts[Cluster]),0)),"")</f>
        <v/>
      </c>
      <c r="B50" s="64">
        <f>IF(A50="","",COUNTIF(tHosts[Cluster],A50))</f>
        <v/>
      </c>
      <c r="C50" s="64">
        <f>IF(A50="","",SUMIF(tHosts[Cluster],A50,tHosts[CPUs]))</f>
        <v/>
      </c>
      <c r="D50" s="65">
        <f>IF(A50="","",IFERROR(AVERAGEIF(tHosts[Cluster],A50,tHosts[Consumed CPU %])/100,0))</f>
        <v/>
      </c>
      <c r="E50" s="65">
        <f>IF(A50="","",IFERROR(1-D50,0))</f>
        <v/>
      </c>
      <c r="F50" s="64">
        <f>IF(A50="","",ROUND(SUMPRODUCT((tHosts[Cluster]=A50)*tHosts[CPUs]*(100-tHosts[Consumed CPU %])/100),0))</f>
        <v/>
      </c>
      <c r="G50" s="64">
        <f>IF(A50="","",ROUND(SUMIF(tHosts[Cluster],A50,tHosts[Memory Size (MB)])/1024,0))</f>
        <v/>
      </c>
      <c r="H50" s="64">
        <f>IF(A50="","",ROUND(SUMPRODUCT((tHosts[Cluster]=A50)*tHosts[Memory Size (MB)]*tHosts[Consumed Memory %]/100)/1024,0))</f>
        <v/>
      </c>
      <c r="I50" s="65">
        <f>IF(A50="","",IFERROR(1-H50/G50,0))</f>
        <v/>
      </c>
      <c r="J50" s="64">
        <f>IF(A50="","",COUNTIF(tVMs[Cluster],A50))</f>
        <v/>
      </c>
      <c r="K50" s="64">
        <f>IF(A50="","",IFERROR(SUMIF(tVMs[Cluster],A50,tVMs[Provisioned Space]),0))</f>
        <v/>
      </c>
      <c r="L50" s="64">
        <f>IF(A50="","",IFERROR(SUMIF(tVMs[Cluster],A50,tVMs[Used Space]),0))</f>
        <v/>
      </c>
      <c r="M50" s="58" t="inlineStr"/>
      <c r="N50" s="59">
        <f>IF(OR(A50="",M50="",M50=0),"",M50*$B$5)</f>
        <v/>
      </c>
      <c r="O50" s="60">
        <f>IF(OR(A50="",M50="",M50=0),"",ROUND(M50*$B$6/1024,1))</f>
        <v/>
      </c>
      <c r="P50" s="59">
        <f>IF(OR(A50="",M50="",M50=0),"",M50*$B$8)</f>
        <v/>
      </c>
      <c r="Q50" s="61">
        <f>IF(OR(A50="",M50="",M50=0),"",IFERROR((F50-N50*$B$5*$B$7/100)/C50,0))</f>
        <v/>
      </c>
      <c r="R50" s="62">
        <f>IF(Q50="","",IF(Q50&lt;$B$9/100,"🔴 Critique",IF(Q50&lt;($B$9+5)/100,"⚠️ Warning","✅ OK")))</f>
        <v/>
      </c>
      <c r="S50" s="61">
        <f>IF(OR(A50="",M50="",M50=0),"",IFERROR((G50-(H50+O50))/G50,0))</f>
        <v/>
      </c>
      <c r="T50" s="62">
        <f>IF(S50="","",IF(S50&lt;$B$10/100,"🔴 Critique",IF(S50&lt;($B$10+5)/100,"⚠️ Warning","✅ OK")))</f>
        <v/>
      </c>
      <c r="U50" s="63">
        <f>IF(A50="","",IFERROR(MAX(0,FLOOR(MIN((F50-$B$9/100*C50)/($B$5*$B$7/100),(G50*(1-$B$10/100)-H50)/($B$6/1024)),1)),""))</f>
        <v/>
      </c>
      <c r="V50" s="63">
        <f>IF(OR(A50="",M50="",M50=0),"",M50*$B$8)</f>
        <v/>
      </c>
    </row>
    <row r="51" ht="22" customHeight="1">
      <c r="A51" s="55">
        <f>IFERROR(INDEX(tHosts[Cluster],MATCH(0,COUNTIF($A$15:$A$50,tHosts[Cluster]),0)),"")</f>
        <v/>
      </c>
      <c r="B51" s="56">
        <f>IF(A51="","",COUNTIF(tHosts[Cluster],A51))</f>
        <v/>
      </c>
      <c r="C51" s="56">
        <f>IF(A51="","",SUMIF(tHosts[Cluster],A51,tHosts[CPUs]))</f>
        <v/>
      </c>
      <c r="D51" s="57">
        <f>IF(A51="","",IFERROR(AVERAGEIF(tHosts[Cluster],A51,tHosts[Consumed CPU %])/100,0))</f>
        <v/>
      </c>
      <c r="E51" s="57">
        <f>IF(A51="","",IFERROR(1-D51,0))</f>
        <v/>
      </c>
      <c r="F51" s="56">
        <f>IF(A51="","",ROUND(SUMPRODUCT((tHosts[Cluster]=A51)*tHosts[CPUs]*(100-tHosts[Consumed CPU %])/100),0))</f>
        <v/>
      </c>
      <c r="G51" s="56">
        <f>IF(A51="","",ROUND(SUMIF(tHosts[Cluster],A51,tHosts[Memory Size (MB)])/1024,0))</f>
        <v/>
      </c>
      <c r="H51" s="56">
        <f>IF(A51="","",ROUND(SUMPRODUCT((tHosts[Cluster]=A51)*tHosts[Memory Size (MB)]*tHosts[Consumed Memory %]/100)/1024,0))</f>
        <v/>
      </c>
      <c r="I51" s="57">
        <f>IF(A51="","",IFERROR(1-H51/G51,0))</f>
        <v/>
      </c>
      <c r="J51" s="56">
        <f>IF(A51="","",COUNTIF(tVMs[Cluster],A51))</f>
        <v/>
      </c>
      <c r="K51" s="56">
        <f>IF(A51="","",IFERROR(SUMIF(tVMs[Cluster],A51,tVMs[Provisioned Space]),0))</f>
        <v/>
      </c>
      <c r="L51" s="56">
        <f>IF(A51="","",IFERROR(SUMIF(tVMs[Cluster],A51,tVMs[Used Space]),0))</f>
        <v/>
      </c>
      <c r="M51" s="58" t="inlineStr"/>
      <c r="N51" s="59">
        <f>IF(OR(A51="",M51="",M51=0),"",M51*$B$5)</f>
        <v/>
      </c>
      <c r="O51" s="60">
        <f>IF(OR(A51="",M51="",M51=0),"",ROUND(M51*$B$6/1024,1))</f>
        <v/>
      </c>
      <c r="P51" s="59">
        <f>IF(OR(A51="",M51="",M51=0),"",M51*$B$8)</f>
        <v/>
      </c>
      <c r="Q51" s="61">
        <f>IF(OR(A51="",M51="",M51=0),"",IFERROR((F51-N51*$B$5*$B$7/100)/C51,0))</f>
        <v/>
      </c>
      <c r="R51" s="62">
        <f>IF(Q51="","",IF(Q51&lt;$B$9/100,"🔴 Critique",IF(Q51&lt;($B$9+5)/100,"⚠️ Warning","✅ OK")))</f>
        <v/>
      </c>
      <c r="S51" s="61">
        <f>IF(OR(A51="",M51="",M51=0),"",IFERROR((G51-(H51+O51))/G51,0))</f>
        <v/>
      </c>
      <c r="T51" s="62">
        <f>IF(S51="","",IF(S51&lt;$B$10/100,"🔴 Critique",IF(S51&lt;($B$10+5)/100,"⚠️ Warning","✅ OK")))</f>
        <v/>
      </c>
      <c r="U51" s="63">
        <f>IF(A51="","",IFERROR(MAX(0,FLOOR(MIN((F51-$B$9/100*C51)/($B$5*$B$7/100),(G51*(1-$B$10/100)-H51)/($B$6/1024)),1)),""))</f>
        <v/>
      </c>
      <c r="V51" s="63">
        <f>IF(OR(A51="",M51="",M51=0),"",M51*$B$8)</f>
        <v/>
      </c>
    </row>
    <row r="52" ht="22" customHeight="1">
      <c r="A52" s="55">
        <f>IFERROR(INDEX(tHosts[Cluster],MATCH(0,COUNTIF($A$15:$A$51,tHosts[Cluster]),0)),"")</f>
        <v/>
      </c>
      <c r="B52" s="64">
        <f>IF(A52="","",COUNTIF(tHosts[Cluster],A52))</f>
        <v/>
      </c>
      <c r="C52" s="64">
        <f>IF(A52="","",SUMIF(tHosts[Cluster],A52,tHosts[CPUs]))</f>
        <v/>
      </c>
      <c r="D52" s="65">
        <f>IF(A52="","",IFERROR(AVERAGEIF(tHosts[Cluster],A52,tHosts[Consumed CPU %])/100,0))</f>
        <v/>
      </c>
      <c r="E52" s="65">
        <f>IF(A52="","",IFERROR(1-D52,0))</f>
        <v/>
      </c>
      <c r="F52" s="64">
        <f>IF(A52="","",ROUND(SUMPRODUCT((tHosts[Cluster]=A52)*tHosts[CPUs]*(100-tHosts[Consumed CPU %])/100),0))</f>
        <v/>
      </c>
      <c r="G52" s="64">
        <f>IF(A52="","",ROUND(SUMIF(tHosts[Cluster],A52,tHosts[Memory Size (MB)])/1024,0))</f>
        <v/>
      </c>
      <c r="H52" s="64">
        <f>IF(A52="","",ROUND(SUMPRODUCT((tHosts[Cluster]=A52)*tHosts[Memory Size (MB)]*tHosts[Consumed Memory %]/100)/1024,0))</f>
        <v/>
      </c>
      <c r="I52" s="65">
        <f>IF(A52="","",IFERROR(1-H52/G52,0))</f>
        <v/>
      </c>
      <c r="J52" s="64">
        <f>IF(A52="","",COUNTIF(tVMs[Cluster],A52))</f>
        <v/>
      </c>
      <c r="K52" s="64">
        <f>IF(A52="","",IFERROR(SUMIF(tVMs[Cluster],A52,tVMs[Provisioned Space]),0))</f>
        <v/>
      </c>
      <c r="L52" s="64">
        <f>IF(A52="","",IFERROR(SUMIF(tVMs[Cluster],A52,tVMs[Used Space]),0))</f>
        <v/>
      </c>
      <c r="M52" s="58" t="inlineStr"/>
      <c r="N52" s="59">
        <f>IF(OR(A52="",M52="",M52=0),"",M52*$B$5)</f>
        <v/>
      </c>
      <c r="O52" s="60">
        <f>IF(OR(A52="",M52="",M52=0),"",ROUND(M52*$B$6/1024,1))</f>
        <v/>
      </c>
      <c r="P52" s="59">
        <f>IF(OR(A52="",M52="",M52=0),"",M52*$B$8)</f>
        <v/>
      </c>
      <c r="Q52" s="61">
        <f>IF(OR(A52="",M52="",M52=0),"",IFERROR((F52-N52*$B$5*$B$7/100)/C52,0))</f>
        <v/>
      </c>
      <c r="R52" s="62">
        <f>IF(Q52="","",IF(Q52&lt;$B$9/100,"🔴 Critique",IF(Q52&lt;($B$9+5)/100,"⚠️ Warning","✅ OK")))</f>
        <v/>
      </c>
      <c r="S52" s="61">
        <f>IF(OR(A52="",M52="",M52=0),"",IFERROR((G52-(H52+O52))/G52,0))</f>
        <v/>
      </c>
      <c r="T52" s="62">
        <f>IF(S52="","",IF(S52&lt;$B$10/100,"🔴 Critique",IF(S52&lt;($B$10+5)/100,"⚠️ Warning","✅ OK")))</f>
        <v/>
      </c>
      <c r="U52" s="63">
        <f>IF(A52="","",IFERROR(MAX(0,FLOOR(MIN((F52-$B$9/100*C52)/($B$5*$B$7/100),(G52*(1-$B$10/100)-H52)/($B$6/1024)),1)),""))</f>
        <v/>
      </c>
      <c r="V52" s="63">
        <f>IF(OR(A52="",M52="",M52=0),"",M52*$B$8)</f>
        <v/>
      </c>
    </row>
    <row r="53" ht="22" customHeight="1">
      <c r="A53" s="55">
        <f>IFERROR(INDEX(tHosts[Cluster],MATCH(0,COUNTIF($A$15:$A$52,tHosts[Cluster]),0)),"")</f>
        <v/>
      </c>
      <c r="B53" s="56">
        <f>IF(A53="","",COUNTIF(tHosts[Cluster],A53))</f>
        <v/>
      </c>
      <c r="C53" s="56">
        <f>IF(A53="","",SUMIF(tHosts[Cluster],A53,tHosts[CPUs]))</f>
        <v/>
      </c>
      <c r="D53" s="57">
        <f>IF(A53="","",IFERROR(AVERAGEIF(tHosts[Cluster],A53,tHosts[Consumed CPU %])/100,0))</f>
        <v/>
      </c>
      <c r="E53" s="57">
        <f>IF(A53="","",IFERROR(1-D53,0))</f>
        <v/>
      </c>
      <c r="F53" s="56">
        <f>IF(A53="","",ROUND(SUMPRODUCT((tHosts[Cluster]=A53)*tHosts[CPUs]*(100-tHosts[Consumed CPU %])/100),0))</f>
        <v/>
      </c>
      <c r="G53" s="56">
        <f>IF(A53="","",ROUND(SUMIF(tHosts[Cluster],A53,tHosts[Memory Size (MB)])/1024,0))</f>
        <v/>
      </c>
      <c r="H53" s="56">
        <f>IF(A53="","",ROUND(SUMPRODUCT((tHosts[Cluster]=A53)*tHosts[Memory Size (MB)]*tHosts[Consumed Memory %]/100)/1024,0))</f>
        <v/>
      </c>
      <c r="I53" s="57">
        <f>IF(A53="","",IFERROR(1-H53/G53,0))</f>
        <v/>
      </c>
      <c r="J53" s="56">
        <f>IF(A53="","",COUNTIF(tVMs[Cluster],A53))</f>
        <v/>
      </c>
      <c r="K53" s="56">
        <f>IF(A53="","",IFERROR(SUMIF(tVMs[Cluster],A53,tVMs[Provisioned Space]),0))</f>
        <v/>
      </c>
      <c r="L53" s="56">
        <f>IF(A53="","",IFERROR(SUMIF(tVMs[Cluster],A53,tVMs[Used Space]),0))</f>
        <v/>
      </c>
      <c r="M53" s="58" t="inlineStr"/>
      <c r="N53" s="59">
        <f>IF(OR(A53="",M53="",M53=0),"",M53*$B$5)</f>
        <v/>
      </c>
      <c r="O53" s="60">
        <f>IF(OR(A53="",M53="",M53=0),"",ROUND(M53*$B$6/1024,1))</f>
        <v/>
      </c>
      <c r="P53" s="59">
        <f>IF(OR(A53="",M53="",M53=0),"",M53*$B$8)</f>
        <v/>
      </c>
      <c r="Q53" s="61">
        <f>IF(OR(A53="",M53="",M53=0),"",IFERROR((F53-N53*$B$5*$B$7/100)/C53,0))</f>
        <v/>
      </c>
      <c r="R53" s="62">
        <f>IF(Q53="","",IF(Q53&lt;$B$9/100,"🔴 Critique",IF(Q53&lt;($B$9+5)/100,"⚠️ Warning","✅ OK")))</f>
        <v/>
      </c>
      <c r="S53" s="61">
        <f>IF(OR(A53="",M53="",M53=0),"",IFERROR((G53-(H53+O53))/G53,0))</f>
        <v/>
      </c>
      <c r="T53" s="62">
        <f>IF(S53="","",IF(S53&lt;$B$10/100,"🔴 Critique",IF(S53&lt;($B$10+5)/100,"⚠️ Warning","✅ OK")))</f>
        <v/>
      </c>
      <c r="U53" s="63">
        <f>IF(A53="","",IFERROR(MAX(0,FLOOR(MIN((F53-$B$9/100*C53)/($B$5*$B$7/100),(G53*(1-$B$10/100)-H53)/($B$6/1024)),1)),""))</f>
        <v/>
      </c>
      <c r="V53" s="63">
        <f>IF(OR(A53="",M53="",M53=0),"",M53*$B$8)</f>
        <v/>
      </c>
    </row>
    <row r="54" ht="22" customHeight="1">
      <c r="A54" s="55">
        <f>IFERROR(INDEX(tHosts[Cluster],MATCH(0,COUNTIF($A$15:$A$53,tHosts[Cluster]),0)),"")</f>
        <v/>
      </c>
      <c r="B54" s="64">
        <f>IF(A54="","",COUNTIF(tHosts[Cluster],A54))</f>
        <v/>
      </c>
      <c r="C54" s="64">
        <f>IF(A54="","",SUMIF(tHosts[Cluster],A54,tHosts[CPUs]))</f>
        <v/>
      </c>
      <c r="D54" s="65">
        <f>IF(A54="","",IFERROR(AVERAGEIF(tHosts[Cluster],A54,tHosts[Consumed CPU %])/100,0))</f>
        <v/>
      </c>
      <c r="E54" s="65">
        <f>IF(A54="","",IFERROR(1-D54,0))</f>
        <v/>
      </c>
      <c r="F54" s="64">
        <f>IF(A54="","",ROUND(SUMPRODUCT((tHosts[Cluster]=A54)*tHosts[CPUs]*(100-tHosts[Consumed CPU %])/100),0))</f>
        <v/>
      </c>
      <c r="G54" s="64">
        <f>IF(A54="","",ROUND(SUMIF(tHosts[Cluster],A54,tHosts[Memory Size (MB)])/1024,0))</f>
        <v/>
      </c>
      <c r="H54" s="64">
        <f>IF(A54="","",ROUND(SUMPRODUCT((tHosts[Cluster]=A54)*tHosts[Memory Size (MB)]*tHosts[Consumed Memory %]/100)/1024,0))</f>
        <v/>
      </c>
      <c r="I54" s="65">
        <f>IF(A54="","",IFERROR(1-H54/G54,0))</f>
        <v/>
      </c>
      <c r="J54" s="64">
        <f>IF(A54="","",COUNTIF(tVMs[Cluster],A54))</f>
        <v/>
      </c>
      <c r="K54" s="64">
        <f>IF(A54="","",IFERROR(SUMIF(tVMs[Cluster],A54,tVMs[Provisioned Space]),0))</f>
        <v/>
      </c>
      <c r="L54" s="64">
        <f>IF(A54="","",IFERROR(SUMIF(tVMs[Cluster],A54,tVMs[Used Space]),0))</f>
        <v/>
      </c>
      <c r="M54" s="58" t="inlineStr"/>
      <c r="N54" s="59">
        <f>IF(OR(A54="",M54="",M54=0),"",M54*$B$5)</f>
        <v/>
      </c>
      <c r="O54" s="60">
        <f>IF(OR(A54="",M54="",M54=0),"",ROUND(M54*$B$6/1024,1))</f>
        <v/>
      </c>
      <c r="P54" s="59">
        <f>IF(OR(A54="",M54="",M54=0),"",M54*$B$8)</f>
        <v/>
      </c>
      <c r="Q54" s="61">
        <f>IF(OR(A54="",M54="",M54=0),"",IFERROR((F54-N54*$B$5*$B$7/100)/C54,0))</f>
        <v/>
      </c>
      <c r="R54" s="62">
        <f>IF(Q54="","",IF(Q54&lt;$B$9/100,"🔴 Critique",IF(Q54&lt;($B$9+5)/100,"⚠️ Warning","✅ OK")))</f>
        <v/>
      </c>
      <c r="S54" s="61">
        <f>IF(OR(A54="",M54="",M54=0),"",IFERROR((G54-(H54+O54))/G54,0))</f>
        <v/>
      </c>
      <c r="T54" s="62">
        <f>IF(S54="","",IF(S54&lt;$B$10/100,"🔴 Critique",IF(S54&lt;($B$10+5)/100,"⚠️ Warning","✅ OK")))</f>
        <v/>
      </c>
      <c r="U54" s="63">
        <f>IF(A54="","",IFERROR(MAX(0,FLOOR(MIN((F54-$B$9/100*C54)/($B$5*$B$7/100),(G54*(1-$B$10/100)-H54)/($B$6/1024)),1)),""))</f>
        <v/>
      </c>
      <c r="V54" s="63">
        <f>IF(OR(A54="",M54="",M54=0),"",M54*$B$8)</f>
        <v/>
      </c>
    </row>
    <row r="55" ht="22" customHeight="1">
      <c r="A55" s="55">
        <f>IFERROR(INDEX(tHosts[Cluster],MATCH(0,COUNTIF($A$15:$A$54,tHosts[Cluster]),0)),"")</f>
        <v/>
      </c>
      <c r="B55" s="56">
        <f>IF(A55="","",COUNTIF(tHosts[Cluster],A55))</f>
        <v/>
      </c>
      <c r="C55" s="56">
        <f>IF(A55="","",SUMIF(tHosts[Cluster],A55,tHosts[CPUs]))</f>
        <v/>
      </c>
      <c r="D55" s="57">
        <f>IF(A55="","",IFERROR(AVERAGEIF(tHosts[Cluster],A55,tHosts[Consumed CPU %])/100,0))</f>
        <v/>
      </c>
      <c r="E55" s="57">
        <f>IF(A55="","",IFERROR(1-D55,0))</f>
        <v/>
      </c>
      <c r="F55" s="56">
        <f>IF(A55="","",ROUND(SUMPRODUCT((tHosts[Cluster]=A55)*tHosts[CPUs]*(100-tHosts[Consumed CPU %])/100),0))</f>
        <v/>
      </c>
      <c r="G55" s="56">
        <f>IF(A55="","",ROUND(SUMIF(tHosts[Cluster],A55,tHosts[Memory Size (MB)])/1024,0))</f>
        <v/>
      </c>
      <c r="H55" s="56">
        <f>IF(A55="","",ROUND(SUMPRODUCT((tHosts[Cluster]=A55)*tHosts[Memory Size (MB)]*tHosts[Consumed Memory %]/100)/1024,0))</f>
        <v/>
      </c>
      <c r="I55" s="57">
        <f>IF(A55="","",IFERROR(1-H55/G55,0))</f>
        <v/>
      </c>
      <c r="J55" s="56">
        <f>IF(A55="","",COUNTIF(tVMs[Cluster],A55))</f>
        <v/>
      </c>
      <c r="K55" s="56">
        <f>IF(A55="","",IFERROR(SUMIF(tVMs[Cluster],A55,tVMs[Provisioned Space]),0))</f>
        <v/>
      </c>
      <c r="L55" s="56">
        <f>IF(A55="","",IFERROR(SUMIF(tVMs[Cluster],A55,tVMs[Used Space]),0))</f>
        <v/>
      </c>
      <c r="M55" s="58" t="inlineStr"/>
      <c r="N55" s="59">
        <f>IF(OR(A55="",M55="",M55=0),"",M55*$B$5)</f>
        <v/>
      </c>
      <c r="O55" s="60">
        <f>IF(OR(A55="",M55="",M55=0),"",ROUND(M55*$B$6/1024,1))</f>
        <v/>
      </c>
      <c r="P55" s="59">
        <f>IF(OR(A55="",M55="",M55=0),"",M55*$B$8)</f>
        <v/>
      </c>
      <c r="Q55" s="61">
        <f>IF(OR(A55="",M55="",M55=0),"",IFERROR((F55-N55*$B$5*$B$7/100)/C55,0))</f>
        <v/>
      </c>
      <c r="R55" s="62">
        <f>IF(Q55="","",IF(Q55&lt;$B$9/100,"🔴 Critique",IF(Q55&lt;($B$9+5)/100,"⚠️ Warning","✅ OK")))</f>
        <v/>
      </c>
      <c r="S55" s="61">
        <f>IF(OR(A55="",M55="",M55=0),"",IFERROR((G55-(H55+O55))/G55,0))</f>
        <v/>
      </c>
      <c r="T55" s="62">
        <f>IF(S55="","",IF(S55&lt;$B$10/100,"🔴 Critique",IF(S55&lt;($B$10+5)/100,"⚠️ Warning","✅ OK")))</f>
        <v/>
      </c>
      <c r="U55" s="63">
        <f>IF(A55="","",IFERROR(MAX(0,FLOOR(MIN((F55-$B$9/100*C55)/($B$5*$B$7/100),(G55*(1-$B$10/100)-H55)/($B$6/1024)),1)),""))</f>
        <v/>
      </c>
      <c r="V55" s="63">
        <f>IF(OR(A55="",M55="",M55=0),"",M55*$B$8)</f>
        <v/>
      </c>
    </row>
    <row r="56" ht="22" customHeight="1">
      <c r="A56" s="55">
        <f>IFERROR(INDEX(tHosts[Cluster],MATCH(0,COUNTIF($A$15:$A$55,tHosts[Cluster]),0)),"")</f>
        <v/>
      </c>
      <c r="B56" s="64">
        <f>IF(A56="","",COUNTIF(tHosts[Cluster],A56))</f>
        <v/>
      </c>
      <c r="C56" s="64">
        <f>IF(A56="","",SUMIF(tHosts[Cluster],A56,tHosts[CPUs]))</f>
        <v/>
      </c>
      <c r="D56" s="65">
        <f>IF(A56="","",IFERROR(AVERAGEIF(tHosts[Cluster],A56,tHosts[Consumed CPU %])/100,0))</f>
        <v/>
      </c>
      <c r="E56" s="65">
        <f>IF(A56="","",IFERROR(1-D56,0))</f>
        <v/>
      </c>
      <c r="F56" s="64">
        <f>IF(A56="","",ROUND(SUMPRODUCT((tHosts[Cluster]=A56)*tHosts[CPUs]*(100-tHosts[Consumed CPU %])/100),0))</f>
        <v/>
      </c>
      <c r="G56" s="64">
        <f>IF(A56="","",ROUND(SUMIF(tHosts[Cluster],A56,tHosts[Memory Size (MB)])/1024,0))</f>
        <v/>
      </c>
      <c r="H56" s="64">
        <f>IF(A56="","",ROUND(SUMPRODUCT((tHosts[Cluster]=A56)*tHosts[Memory Size (MB)]*tHosts[Consumed Memory %]/100)/1024,0))</f>
        <v/>
      </c>
      <c r="I56" s="65">
        <f>IF(A56="","",IFERROR(1-H56/G56,0))</f>
        <v/>
      </c>
      <c r="J56" s="64">
        <f>IF(A56="","",COUNTIF(tVMs[Cluster],A56))</f>
        <v/>
      </c>
      <c r="K56" s="64">
        <f>IF(A56="","",IFERROR(SUMIF(tVMs[Cluster],A56,tVMs[Provisioned Space]),0))</f>
        <v/>
      </c>
      <c r="L56" s="64">
        <f>IF(A56="","",IFERROR(SUMIF(tVMs[Cluster],A56,tVMs[Used Space]),0))</f>
        <v/>
      </c>
      <c r="M56" s="58" t="inlineStr"/>
      <c r="N56" s="59">
        <f>IF(OR(A56="",M56="",M56=0),"",M56*$B$5)</f>
        <v/>
      </c>
      <c r="O56" s="60">
        <f>IF(OR(A56="",M56="",M56=0),"",ROUND(M56*$B$6/1024,1))</f>
        <v/>
      </c>
      <c r="P56" s="59">
        <f>IF(OR(A56="",M56="",M56=0),"",M56*$B$8)</f>
        <v/>
      </c>
      <c r="Q56" s="61">
        <f>IF(OR(A56="",M56="",M56=0),"",IFERROR((F56-N56*$B$5*$B$7/100)/C56,0))</f>
        <v/>
      </c>
      <c r="R56" s="62">
        <f>IF(Q56="","",IF(Q56&lt;$B$9/100,"🔴 Critique",IF(Q56&lt;($B$9+5)/100,"⚠️ Warning","✅ OK")))</f>
        <v/>
      </c>
      <c r="S56" s="61">
        <f>IF(OR(A56="",M56="",M56=0),"",IFERROR((G56-(H56+O56))/G56,0))</f>
        <v/>
      </c>
      <c r="T56" s="62">
        <f>IF(S56="","",IF(S56&lt;$B$10/100,"🔴 Critique",IF(S56&lt;($B$10+5)/100,"⚠️ Warning","✅ OK")))</f>
        <v/>
      </c>
      <c r="U56" s="63">
        <f>IF(A56="","",IFERROR(MAX(0,FLOOR(MIN((F56-$B$9/100*C56)/($B$5*$B$7/100),(G56*(1-$B$10/100)-H56)/($B$6/1024)),1)),""))</f>
        <v/>
      </c>
      <c r="V56" s="63">
        <f>IF(OR(A56="",M56="",M56=0),"",M56*$B$8)</f>
        <v/>
      </c>
    </row>
    <row r="57" ht="22" customHeight="1">
      <c r="A57" s="55">
        <f>IFERROR(INDEX(tHosts[Cluster],MATCH(0,COUNTIF($A$15:$A$56,tHosts[Cluster]),0)),"")</f>
        <v/>
      </c>
      <c r="B57" s="56">
        <f>IF(A57="","",COUNTIF(tHosts[Cluster],A57))</f>
        <v/>
      </c>
      <c r="C57" s="56">
        <f>IF(A57="","",SUMIF(tHosts[Cluster],A57,tHosts[CPUs]))</f>
        <v/>
      </c>
      <c r="D57" s="57">
        <f>IF(A57="","",IFERROR(AVERAGEIF(tHosts[Cluster],A57,tHosts[Consumed CPU %])/100,0))</f>
        <v/>
      </c>
      <c r="E57" s="57">
        <f>IF(A57="","",IFERROR(1-D57,0))</f>
        <v/>
      </c>
      <c r="F57" s="56">
        <f>IF(A57="","",ROUND(SUMPRODUCT((tHosts[Cluster]=A57)*tHosts[CPUs]*(100-tHosts[Consumed CPU %])/100),0))</f>
        <v/>
      </c>
      <c r="G57" s="56">
        <f>IF(A57="","",ROUND(SUMIF(tHosts[Cluster],A57,tHosts[Memory Size (MB)])/1024,0))</f>
        <v/>
      </c>
      <c r="H57" s="56">
        <f>IF(A57="","",ROUND(SUMPRODUCT((tHosts[Cluster]=A57)*tHosts[Memory Size (MB)]*tHosts[Consumed Memory %]/100)/1024,0))</f>
        <v/>
      </c>
      <c r="I57" s="57">
        <f>IF(A57="","",IFERROR(1-H57/G57,0))</f>
        <v/>
      </c>
      <c r="J57" s="56">
        <f>IF(A57="","",COUNTIF(tVMs[Cluster],A57))</f>
        <v/>
      </c>
      <c r="K57" s="56">
        <f>IF(A57="","",IFERROR(SUMIF(tVMs[Cluster],A57,tVMs[Provisioned Space]),0))</f>
        <v/>
      </c>
      <c r="L57" s="56">
        <f>IF(A57="","",IFERROR(SUMIF(tVMs[Cluster],A57,tVMs[Used Space]),0))</f>
        <v/>
      </c>
      <c r="M57" s="58" t="inlineStr"/>
      <c r="N57" s="59">
        <f>IF(OR(A57="",M57="",M57=0),"",M57*$B$5)</f>
        <v/>
      </c>
      <c r="O57" s="60">
        <f>IF(OR(A57="",M57="",M57=0),"",ROUND(M57*$B$6/1024,1))</f>
        <v/>
      </c>
      <c r="P57" s="59">
        <f>IF(OR(A57="",M57="",M57=0),"",M57*$B$8)</f>
        <v/>
      </c>
      <c r="Q57" s="61">
        <f>IF(OR(A57="",M57="",M57=0),"",IFERROR((F57-N57*$B$5*$B$7/100)/C57,0))</f>
        <v/>
      </c>
      <c r="R57" s="62">
        <f>IF(Q57="","",IF(Q57&lt;$B$9/100,"🔴 Critique",IF(Q57&lt;($B$9+5)/100,"⚠️ Warning","✅ OK")))</f>
        <v/>
      </c>
      <c r="S57" s="61">
        <f>IF(OR(A57="",M57="",M57=0),"",IFERROR((G57-(H57+O57))/G57,0))</f>
        <v/>
      </c>
      <c r="T57" s="62">
        <f>IF(S57="","",IF(S57&lt;$B$10/100,"🔴 Critique",IF(S57&lt;($B$10+5)/100,"⚠️ Warning","✅ OK")))</f>
        <v/>
      </c>
      <c r="U57" s="63">
        <f>IF(A57="","",IFERROR(MAX(0,FLOOR(MIN((F57-$B$9/100*C57)/($B$5*$B$7/100),(G57*(1-$B$10/100)-H57)/($B$6/1024)),1)),""))</f>
        <v/>
      </c>
      <c r="V57" s="63">
        <f>IF(OR(A57="",M57="",M57=0),"",M57*$B$8)</f>
        <v/>
      </c>
    </row>
    <row r="58" ht="22" customHeight="1">
      <c r="A58" s="55">
        <f>IFERROR(INDEX(tHosts[Cluster],MATCH(0,COUNTIF($A$15:$A$57,tHosts[Cluster]),0)),"")</f>
        <v/>
      </c>
      <c r="B58" s="64">
        <f>IF(A58="","",COUNTIF(tHosts[Cluster],A58))</f>
        <v/>
      </c>
      <c r="C58" s="64">
        <f>IF(A58="","",SUMIF(tHosts[Cluster],A58,tHosts[CPUs]))</f>
        <v/>
      </c>
      <c r="D58" s="65">
        <f>IF(A58="","",IFERROR(AVERAGEIF(tHosts[Cluster],A58,tHosts[Consumed CPU %])/100,0))</f>
        <v/>
      </c>
      <c r="E58" s="65">
        <f>IF(A58="","",IFERROR(1-D58,0))</f>
        <v/>
      </c>
      <c r="F58" s="64">
        <f>IF(A58="","",ROUND(SUMPRODUCT((tHosts[Cluster]=A58)*tHosts[CPUs]*(100-tHosts[Consumed CPU %])/100),0))</f>
        <v/>
      </c>
      <c r="G58" s="64">
        <f>IF(A58="","",ROUND(SUMIF(tHosts[Cluster],A58,tHosts[Memory Size (MB)])/1024,0))</f>
        <v/>
      </c>
      <c r="H58" s="64">
        <f>IF(A58="","",ROUND(SUMPRODUCT((tHosts[Cluster]=A58)*tHosts[Memory Size (MB)]*tHosts[Consumed Memory %]/100)/1024,0))</f>
        <v/>
      </c>
      <c r="I58" s="65">
        <f>IF(A58="","",IFERROR(1-H58/G58,0))</f>
        <v/>
      </c>
      <c r="J58" s="64">
        <f>IF(A58="","",COUNTIF(tVMs[Cluster],A58))</f>
        <v/>
      </c>
      <c r="K58" s="64">
        <f>IF(A58="","",IFERROR(SUMIF(tVMs[Cluster],A58,tVMs[Provisioned Space]),0))</f>
        <v/>
      </c>
      <c r="L58" s="64">
        <f>IF(A58="","",IFERROR(SUMIF(tVMs[Cluster],A58,tVMs[Used Space]),0))</f>
        <v/>
      </c>
      <c r="M58" s="58" t="inlineStr"/>
      <c r="N58" s="59">
        <f>IF(OR(A58="",M58="",M58=0),"",M58*$B$5)</f>
        <v/>
      </c>
      <c r="O58" s="60">
        <f>IF(OR(A58="",M58="",M58=0),"",ROUND(M58*$B$6/1024,1))</f>
        <v/>
      </c>
      <c r="P58" s="59">
        <f>IF(OR(A58="",M58="",M58=0),"",M58*$B$8)</f>
        <v/>
      </c>
      <c r="Q58" s="61">
        <f>IF(OR(A58="",M58="",M58=0),"",IFERROR((F58-N58*$B$5*$B$7/100)/C58,0))</f>
        <v/>
      </c>
      <c r="R58" s="62">
        <f>IF(Q58="","",IF(Q58&lt;$B$9/100,"🔴 Critique",IF(Q58&lt;($B$9+5)/100,"⚠️ Warning","✅ OK")))</f>
        <v/>
      </c>
      <c r="S58" s="61">
        <f>IF(OR(A58="",M58="",M58=0),"",IFERROR((G58-(H58+O58))/G58,0))</f>
        <v/>
      </c>
      <c r="T58" s="62">
        <f>IF(S58="","",IF(S58&lt;$B$10/100,"🔴 Critique",IF(S58&lt;($B$10+5)/100,"⚠️ Warning","✅ OK")))</f>
        <v/>
      </c>
      <c r="U58" s="63">
        <f>IF(A58="","",IFERROR(MAX(0,FLOOR(MIN((F58-$B$9/100*C58)/($B$5*$B$7/100),(G58*(1-$B$10/100)-H58)/($B$6/1024)),1)),""))</f>
        <v/>
      </c>
      <c r="V58" s="63">
        <f>IF(OR(A58="",M58="",M58=0),"",M58*$B$8)</f>
        <v/>
      </c>
    </row>
    <row r="59" ht="22" customHeight="1">
      <c r="A59" s="55">
        <f>IFERROR(INDEX(tHosts[Cluster],MATCH(0,COUNTIF($A$15:$A$58,tHosts[Cluster]),0)),"")</f>
        <v/>
      </c>
      <c r="B59" s="56">
        <f>IF(A59="","",COUNTIF(tHosts[Cluster],A59))</f>
        <v/>
      </c>
      <c r="C59" s="56">
        <f>IF(A59="","",SUMIF(tHosts[Cluster],A59,tHosts[CPUs]))</f>
        <v/>
      </c>
      <c r="D59" s="57">
        <f>IF(A59="","",IFERROR(AVERAGEIF(tHosts[Cluster],A59,tHosts[Consumed CPU %])/100,0))</f>
        <v/>
      </c>
      <c r="E59" s="57">
        <f>IF(A59="","",IFERROR(1-D59,0))</f>
        <v/>
      </c>
      <c r="F59" s="56">
        <f>IF(A59="","",ROUND(SUMPRODUCT((tHosts[Cluster]=A59)*tHosts[CPUs]*(100-tHosts[Consumed CPU %])/100),0))</f>
        <v/>
      </c>
      <c r="G59" s="56">
        <f>IF(A59="","",ROUND(SUMIF(tHosts[Cluster],A59,tHosts[Memory Size (MB)])/1024,0))</f>
        <v/>
      </c>
      <c r="H59" s="56">
        <f>IF(A59="","",ROUND(SUMPRODUCT((tHosts[Cluster]=A59)*tHosts[Memory Size (MB)]*tHosts[Consumed Memory %]/100)/1024,0))</f>
        <v/>
      </c>
      <c r="I59" s="57">
        <f>IF(A59="","",IFERROR(1-H59/G59,0))</f>
        <v/>
      </c>
      <c r="J59" s="56">
        <f>IF(A59="","",COUNTIF(tVMs[Cluster],A59))</f>
        <v/>
      </c>
      <c r="K59" s="56">
        <f>IF(A59="","",IFERROR(SUMIF(tVMs[Cluster],A59,tVMs[Provisioned Space]),0))</f>
        <v/>
      </c>
      <c r="L59" s="56">
        <f>IF(A59="","",IFERROR(SUMIF(tVMs[Cluster],A59,tVMs[Used Space]),0))</f>
        <v/>
      </c>
      <c r="M59" s="58" t="inlineStr"/>
      <c r="N59" s="59">
        <f>IF(OR(A59="",M59="",M59=0),"",M59*$B$5)</f>
        <v/>
      </c>
      <c r="O59" s="60">
        <f>IF(OR(A59="",M59="",M59=0),"",ROUND(M59*$B$6/1024,1))</f>
        <v/>
      </c>
      <c r="P59" s="59">
        <f>IF(OR(A59="",M59="",M59=0),"",M59*$B$8)</f>
        <v/>
      </c>
      <c r="Q59" s="61">
        <f>IF(OR(A59="",M59="",M59=0),"",IFERROR((F59-N59*$B$5*$B$7/100)/C59,0))</f>
        <v/>
      </c>
      <c r="R59" s="62">
        <f>IF(Q59="","",IF(Q59&lt;$B$9/100,"🔴 Critique",IF(Q59&lt;($B$9+5)/100,"⚠️ Warning","✅ OK")))</f>
        <v/>
      </c>
      <c r="S59" s="61">
        <f>IF(OR(A59="",M59="",M59=0),"",IFERROR((G59-(H59+O59))/G59,0))</f>
        <v/>
      </c>
      <c r="T59" s="62">
        <f>IF(S59="","",IF(S59&lt;$B$10/100,"🔴 Critique",IF(S59&lt;($B$10+5)/100,"⚠️ Warning","✅ OK")))</f>
        <v/>
      </c>
      <c r="U59" s="63">
        <f>IF(A59="","",IFERROR(MAX(0,FLOOR(MIN((F59-$B$9/100*C59)/($B$5*$B$7/100),(G59*(1-$B$10/100)-H59)/($B$6/1024)),1)),""))</f>
        <v/>
      </c>
      <c r="V59" s="63">
        <f>IF(OR(A59="",M59="",M59=0),"",M59*$B$8)</f>
        <v/>
      </c>
    </row>
    <row r="60" ht="22" customHeight="1">
      <c r="A60" s="55">
        <f>IFERROR(INDEX(tHosts[Cluster],MATCH(0,COUNTIF($A$15:$A$59,tHosts[Cluster]),0)),"")</f>
        <v/>
      </c>
      <c r="B60" s="64">
        <f>IF(A60="","",COUNTIF(tHosts[Cluster],A60))</f>
        <v/>
      </c>
      <c r="C60" s="64">
        <f>IF(A60="","",SUMIF(tHosts[Cluster],A60,tHosts[CPUs]))</f>
        <v/>
      </c>
      <c r="D60" s="65">
        <f>IF(A60="","",IFERROR(AVERAGEIF(tHosts[Cluster],A60,tHosts[Consumed CPU %])/100,0))</f>
        <v/>
      </c>
      <c r="E60" s="65">
        <f>IF(A60="","",IFERROR(1-D60,0))</f>
        <v/>
      </c>
      <c r="F60" s="64">
        <f>IF(A60="","",ROUND(SUMPRODUCT((tHosts[Cluster]=A60)*tHosts[CPUs]*(100-tHosts[Consumed CPU %])/100),0))</f>
        <v/>
      </c>
      <c r="G60" s="64">
        <f>IF(A60="","",ROUND(SUMIF(tHosts[Cluster],A60,tHosts[Memory Size (MB)])/1024,0))</f>
        <v/>
      </c>
      <c r="H60" s="64">
        <f>IF(A60="","",ROUND(SUMPRODUCT((tHosts[Cluster]=A60)*tHosts[Memory Size (MB)]*tHosts[Consumed Memory %]/100)/1024,0))</f>
        <v/>
      </c>
      <c r="I60" s="65">
        <f>IF(A60="","",IFERROR(1-H60/G60,0))</f>
        <v/>
      </c>
      <c r="J60" s="64">
        <f>IF(A60="","",COUNTIF(tVMs[Cluster],A60))</f>
        <v/>
      </c>
      <c r="K60" s="64">
        <f>IF(A60="","",IFERROR(SUMIF(tVMs[Cluster],A60,tVMs[Provisioned Space]),0))</f>
        <v/>
      </c>
      <c r="L60" s="64">
        <f>IF(A60="","",IFERROR(SUMIF(tVMs[Cluster],A60,tVMs[Used Space]),0))</f>
        <v/>
      </c>
      <c r="M60" s="58" t="inlineStr"/>
      <c r="N60" s="59">
        <f>IF(OR(A60="",M60="",M60=0),"",M60*$B$5)</f>
        <v/>
      </c>
      <c r="O60" s="60">
        <f>IF(OR(A60="",M60="",M60=0),"",ROUND(M60*$B$6/1024,1))</f>
        <v/>
      </c>
      <c r="P60" s="59">
        <f>IF(OR(A60="",M60="",M60=0),"",M60*$B$8)</f>
        <v/>
      </c>
      <c r="Q60" s="61">
        <f>IF(OR(A60="",M60="",M60=0),"",IFERROR((F60-N60*$B$5*$B$7/100)/C60,0))</f>
        <v/>
      </c>
      <c r="R60" s="62">
        <f>IF(Q60="","",IF(Q60&lt;$B$9/100,"🔴 Critique",IF(Q60&lt;($B$9+5)/100,"⚠️ Warning","✅ OK")))</f>
        <v/>
      </c>
      <c r="S60" s="61">
        <f>IF(OR(A60="",M60="",M60=0),"",IFERROR((G60-(H60+O60))/G60,0))</f>
        <v/>
      </c>
      <c r="T60" s="62">
        <f>IF(S60="","",IF(S60&lt;$B$10/100,"🔴 Critique",IF(S60&lt;($B$10+5)/100,"⚠️ Warning","✅ OK")))</f>
        <v/>
      </c>
      <c r="U60" s="63">
        <f>IF(A60="","",IFERROR(MAX(0,FLOOR(MIN((F60-$B$9/100*C60)/($B$5*$B$7/100),(G60*(1-$B$10/100)-H60)/($B$6/1024)),1)),""))</f>
        <v/>
      </c>
      <c r="V60" s="63">
        <f>IF(OR(A60="",M60="",M60=0),"",M60*$B$8)</f>
        <v/>
      </c>
    </row>
    <row r="61" ht="22" customHeight="1">
      <c r="A61" s="55">
        <f>IFERROR(INDEX(tHosts[Cluster],MATCH(0,COUNTIF($A$15:$A$60,tHosts[Cluster]),0)),"")</f>
        <v/>
      </c>
      <c r="B61" s="56">
        <f>IF(A61="","",COUNTIF(tHosts[Cluster],A61))</f>
        <v/>
      </c>
      <c r="C61" s="56">
        <f>IF(A61="","",SUMIF(tHosts[Cluster],A61,tHosts[CPUs]))</f>
        <v/>
      </c>
      <c r="D61" s="57">
        <f>IF(A61="","",IFERROR(AVERAGEIF(tHosts[Cluster],A61,tHosts[Consumed CPU %])/100,0))</f>
        <v/>
      </c>
      <c r="E61" s="57">
        <f>IF(A61="","",IFERROR(1-D61,0))</f>
        <v/>
      </c>
      <c r="F61" s="56">
        <f>IF(A61="","",ROUND(SUMPRODUCT((tHosts[Cluster]=A61)*tHosts[CPUs]*(100-tHosts[Consumed CPU %])/100),0))</f>
        <v/>
      </c>
      <c r="G61" s="56">
        <f>IF(A61="","",ROUND(SUMIF(tHosts[Cluster],A61,tHosts[Memory Size (MB)])/1024,0))</f>
        <v/>
      </c>
      <c r="H61" s="56">
        <f>IF(A61="","",ROUND(SUMPRODUCT((tHosts[Cluster]=A61)*tHosts[Memory Size (MB)]*tHosts[Consumed Memory %]/100)/1024,0))</f>
        <v/>
      </c>
      <c r="I61" s="57">
        <f>IF(A61="","",IFERROR(1-H61/G61,0))</f>
        <v/>
      </c>
      <c r="J61" s="56">
        <f>IF(A61="","",COUNTIF(tVMs[Cluster],A61))</f>
        <v/>
      </c>
      <c r="K61" s="56">
        <f>IF(A61="","",IFERROR(SUMIF(tVMs[Cluster],A61,tVMs[Provisioned Space]),0))</f>
        <v/>
      </c>
      <c r="L61" s="56">
        <f>IF(A61="","",IFERROR(SUMIF(tVMs[Cluster],A61,tVMs[Used Space]),0))</f>
        <v/>
      </c>
      <c r="M61" s="58" t="inlineStr"/>
      <c r="N61" s="59">
        <f>IF(OR(A61="",M61="",M61=0),"",M61*$B$5)</f>
        <v/>
      </c>
      <c r="O61" s="60">
        <f>IF(OR(A61="",M61="",M61=0),"",ROUND(M61*$B$6/1024,1))</f>
        <v/>
      </c>
      <c r="P61" s="59">
        <f>IF(OR(A61="",M61="",M61=0),"",M61*$B$8)</f>
        <v/>
      </c>
      <c r="Q61" s="61">
        <f>IF(OR(A61="",M61="",M61=0),"",IFERROR((F61-N61*$B$5*$B$7/100)/C61,0))</f>
        <v/>
      </c>
      <c r="R61" s="62">
        <f>IF(Q61="","",IF(Q61&lt;$B$9/100,"🔴 Critique",IF(Q61&lt;($B$9+5)/100,"⚠️ Warning","✅ OK")))</f>
        <v/>
      </c>
      <c r="S61" s="61">
        <f>IF(OR(A61="",M61="",M61=0),"",IFERROR((G61-(H61+O61))/G61,0))</f>
        <v/>
      </c>
      <c r="T61" s="62">
        <f>IF(S61="","",IF(S61&lt;$B$10/100,"🔴 Critique",IF(S61&lt;($B$10+5)/100,"⚠️ Warning","✅ OK")))</f>
        <v/>
      </c>
      <c r="U61" s="63">
        <f>IF(A61="","",IFERROR(MAX(0,FLOOR(MIN((F61-$B$9/100*C61)/($B$5*$B$7/100),(G61*(1-$B$10/100)-H61)/($B$6/1024)),1)),""))</f>
        <v/>
      </c>
      <c r="V61" s="63">
        <f>IF(OR(A61="",M61="",M61=0),"",M61*$B$8)</f>
        <v/>
      </c>
    </row>
    <row r="62" ht="22" customHeight="1">
      <c r="A62" s="55">
        <f>IFERROR(INDEX(tHosts[Cluster],MATCH(0,COUNTIF($A$15:$A$61,tHosts[Cluster]),0)),"")</f>
        <v/>
      </c>
      <c r="B62" s="64">
        <f>IF(A62="","",COUNTIF(tHosts[Cluster],A62))</f>
        <v/>
      </c>
      <c r="C62" s="64">
        <f>IF(A62="","",SUMIF(tHosts[Cluster],A62,tHosts[CPUs]))</f>
        <v/>
      </c>
      <c r="D62" s="65">
        <f>IF(A62="","",IFERROR(AVERAGEIF(tHosts[Cluster],A62,tHosts[Consumed CPU %])/100,0))</f>
        <v/>
      </c>
      <c r="E62" s="65">
        <f>IF(A62="","",IFERROR(1-D62,0))</f>
        <v/>
      </c>
      <c r="F62" s="64">
        <f>IF(A62="","",ROUND(SUMPRODUCT((tHosts[Cluster]=A62)*tHosts[CPUs]*(100-tHosts[Consumed CPU %])/100),0))</f>
        <v/>
      </c>
      <c r="G62" s="64">
        <f>IF(A62="","",ROUND(SUMIF(tHosts[Cluster],A62,tHosts[Memory Size (MB)])/1024,0))</f>
        <v/>
      </c>
      <c r="H62" s="64">
        <f>IF(A62="","",ROUND(SUMPRODUCT((tHosts[Cluster]=A62)*tHosts[Memory Size (MB)]*tHosts[Consumed Memory %]/100)/1024,0))</f>
        <v/>
      </c>
      <c r="I62" s="65">
        <f>IF(A62="","",IFERROR(1-H62/G62,0))</f>
        <v/>
      </c>
      <c r="J62" s="64">
        <f>IF(A62="","",COUNTIF(tVMs[Cluster],A62))</f>
        <v/>
      </c>
      <c r="K62" s="64">
        <f>IF(A62="","",IFERROR(SUMIF(tVMs[Cluster],A62,tVMs[Provisioned Space]),0))</f>
        <v/>
      </c>
      <c r="L62" s="64">
        <f>IF(A62="","",IFERROR(SUMIF(tVMs[Cluster],A62,tVMs[Used Space]),0))</f>
        <v/>
      </c>
      <c r="M62" s="58" t="inlineStr"/>
      <c r="N62" s="59">
        <f>IF(OR(A62="",M62="",M62=0),"",M62*$B$5)</f>
        <v/>
      </c>
      <c r="O62" s="60">
        <f>IF(OR(A62="",M62="",M62=0),"",ROUND(M62*$B$6/1024,1))</f>
        <v/>
      </c>
      <c r="P62" s="59">
        <f>IF(OR(A62="",M62="",M62=0),"",M62*$B$8)</f>
        <v/>
      </c>
      <c r="Q62" s="61">
        <f>IF(OR(A62="",M62="",M62=0),"",IFERROR((F62-N62*$B$5*$B$7/100)/C62,0))</f>
        <v/>
      </c>
      <c r="R62" s="62">
        <f>IF(Q62="","",IF(Q62&lt;$B$9/100,"🔴 Critique",IF(Q62&lt;($B$9+5)/100,"⚠️ Warning","✅ OK")))</f>
        <v/>
      </c>
      <c r="S62" s="61">
        <f>IF(OR(A62="",M62="",M62=0),"",IFERROR((G62-(H62+O62))/G62,0))</f>
        <v/>
      </c>
      <c r="T62" s="62">
        <f>IF(S62="","",IF(S62&lt;$B$10/100,"🔴 Critique",IF(S62&lt;($B$10+5)/100,"⚠️ Warning","✅ OK")))</f>
        <v/>
      </c>
      <c r="U62" s="63">
        <f>IF(A62="","",IFERROR(MAX(0,FLOOR(MIN((F62-$B$9/100*C62)/($B$5*$B$7/100),(G62*(1-$B$10/100)-H62)/($B$6/1024)),1)),""))</f>
        <v/>
      </c>
      <c r="V62" s="63">
        <f>IF(OR(A62="",M62="",M62=0),"",M62*$B$8)</f>
        <v/>
      </c>
    </row>
    <row r="63" ht="22" customHeight="1">
      <c r="A63" s="55">
        <f>IFERROR(INDEX(tHosts[Cluster],MATCH(0,COUNTIF($A$15:$A$62,tHosts[Cluster]),0)),"")</f>
        <v/>
      </c>
      <c r="B63" s="56">
        <f>IF(A63="","",COUNTIF(tHosts[Cluster],A63))</f>
        <v/>
      </c>
      <c r="C63" s="56">
        <f>IF(A63="","",SUMIF(tHosts[Cluster],A63,tHosts[CPUs]))</f>
        <v/>
      </c>
      <c r="D63" s="57">
        <f>IF(A63="","",IFERROR(AVERAGEIF(tHosts[Cluster],A63,tHosts[Consumed CPU %])/100,0))</f>
        <v/>
      </c>
      <c r="E63" s="57">
        <f>IF(A63="","",IFERROR(1-D63,0))</f>
        <v/>
      </c>
      <c r="F63" s="56">
        <f>IF(A63="","",ROUND(SUMPRODUCT((tHosts[Cluster]=A63)*tHosts[CPUs]*(100-tHosts[Consumed CPU %])/100),0))</f>
        <v/>
      </c>
      <c r="G63" s="56">
        <f>IF(A63="","",ROUND(SUMIF(tHosts[Cluster],A63,tHosts[Memory Size (MB)])/1024,0))</f>
        <v/>
      </c>
      <c r="H63" s="56">
        <f>IF(A63="","",ROUND(SUMPRODUCT((tHosts[Cluster]=A63)*tHosts[Memory Size (MB)]*tHosts[Consumed Memory %]/100)/1024,0))</f>
        <v/>
      </c>
      <c r="I63" s="57">
        <f>IF(A63="","",IFERROR(1-H63/G63,0))</f>
        <v/>
      </c>
      <c r="J63" s="56">
        <f>IF(A63="","",COUNTIF(tVMs[Cluster],A63))</f>
        <v/>
      </c>
      <c r="K63" s="56">
        <f>IF(A63="","",IFERROR(SUMIF(tVMs[Cluster],A63,tVMs[Provisioned Space]),0))</f>
        <v/>
      </c>
      <c r="L63" s="56">
        <f>IF(A63="","",IFERROR(SUMIF(tVMs[Cluster],A63,tVMs[Used Space]),0))</f>
        <v/>
      </c>
      <c r="M63" s="58" t="inlineStr"/>
      <c r="N63" s="59">
        <f>IF(OR(A63="",M63="",M63=0),"",M63*$B$5)</f>
        <v/>
      </c>
      <c r="O63" s="60">
        <f>IF(OR(A63="",M63="",M63=0),"",ROUND(M63*$B$6/1024,1))</f>
        <v/>
      </c>
      <c r="P63" s="59">
        <f>IF(OR(A63="",M63="",M63=0),"",M63*$B$8)</f>
        <v/>
      </c>
      <c r="Q63" s="61">
        <f>IF(OR(A63="",M63="",M63=0),"",IFERROR((F63-N63*$B$5*$B$7/100)/C63,0))</f>
        <v/>
      </c>
      <c r="R63" s="62">
        <f>IF(Q63="","",IF(Q63&lt;$B$9/100,"🔴 Critique",IF(Q63&lt;($B$9+5)/100,"⚠️ Warning","✅ OK")))</f>
        <v/>
      </c>
      <c r="S63" s="61">
        <f>IF(OR(A63="",M63="",M63=0),"",IFERROR((G63-(H63+O63))/G63,0))</f>
        <v/>
      </c>
      <c r="T63" s="62">
        <f>IF(S63="","",IF(S63&lt;$B$10/100,"🔴 Critique",IF(S63&lt;($B$10+5)/100,"⚠️ Warning","✅ OK")))</f>
        <v/>
      </c>
      <c r="U63" s="63">
        <f>IF(A63="","",IFERROR(MAX(0,FLOOR(MIN((F63-$B$9/100*C63)/($B$5*$B$7/100),(G63*(1-$B$10/100)-H63)/($B$6/1024)),1)),""))</f>
        <v/>
      </c>
      <c r="V63" s="63">
        <f>IF(OR(A63="",M63="",M63=0),"",M63*$B$8)</f>
        <v/>
      </c>
    </row>
    <row r="64" ht="22" customHeight="1">
      <c r="A64" s="55">
        <f>IFERROR(INDEX(tHosts[Cluster],MATCH(0,COUNTIF($A$15:$A$63,tHosts[Cluster]),0)),"")</f>
        <v/>
      </c>
      <c r="B64" s="64">
        <f>IF(A64="","",COUNTIF(tHosts[Cluster],A64))</f>
        <v/>
      </c>
      <c r="C64" s="64">
        <f>IF(A64="","",SUMIF(tHosts[Cluster],A64,tHosts[CPUs]))</f>
        <v/>
      </c>
      <c r="D64" s="65">
        <f>IF(A64="","",IFERROR(AVERAGEIF(tHosts[Cluster],A64,tHosts[Consumed CPU %])/100,0))</f>
        <v/>
      </c>
      <c r="E64" s="65">
        <f>IF(A64="","",IFERROR(1-D64,0))</f>
        <v/>
      </c>
      <c r="F64" s="64">
        <f>IF(A64="","",ROUND(SUMPRODUCT((tHosts[Cluster]=A64)*tHosts[CPUs]*(100-tHosts[Consumed CPU %])/100),0))</f>
        <v/>
      </c>
      <c r="G64" s="64">
        <f>IF(A64="","",ROUND(SUMIF(tHosts[Cluster],A64,tHosts[Memory Size (MB)])/1024,0))</f>
        <v/>
      </c>
      <c r="H64" s="64">
        <f>IF(A64="","",ROUND(SUMPRODUCT((tHosts[Cluster]=A64)*tHosts[Memory Size (MB)]*tHosts[Consumed Memory %]/100)/1024,0))</f>
        <v/>
      </c>
      <c r="I64" s="65">
        <f>IF(A64="","",IFERROR(1-H64/G64,0))</f>
        <v/>
      </c>
      <c r="J64" s="64">
        <f>IF(A64="","",COUNTIF(tVMs[Cluster],A64))</f>
        <v/>
      </c>
      <c r="K64" s="64">
        <f>IF(A64="","",IFERROR(SUMIF(tVMs[Cluster],A64,tVMs[Provisioned Space]),0))</f>
        <v/>
      </c>
      <c r="L64" s="64">
        <f>IF(A64="","",IFERROR(SUMIF(tVMs[Cluster],A64,tVMs[Used Space]),0))</f>
        <v/>
      </c>
      <c r="M64" s="58" t="inlineStr"/>
      <c r="N64" s="59">
        <f>IF(OR(A64="",M64="",M64=0),"",M64*$B$5)</f>
        <v/>
      </c>
      <c r="O64" s="60">
        <f>IF(OR(A64="",M64="",M64=0),"",ROUND(M64*$B$6/1024,1))</f>
        <v/>
      </c>
      <c r="P64" s="59">
        <f>IF(OR(A64="",M64="",M64=0),"",M64*$B$8)</f>
        <v/>
      </c>
      <c r="Q64" s="61">
        <f>IF(OR(A64="",M64="",M64=0),"",IFERROR((F64-N64*$B$5*$B$7/100)/C64,0))</f>
        <v/>
      </c>
      <c r="R64" s="62">
        <f>IF(Q64="","",IF(Q64&lt;$B$9/100,"🔴 Critique",IF(Q64&lt;($B$9+5)/100,"⚠️ Warning","✅ OK")))</f>
        <v/>
      </c>
      <c r="S64" s="61">
        <f>IF(OR(A64="",M64="",M64=0),"",IFERROR((G64-(H64+O64))/G64,0))</f>
        <v/>
      </c>
      <c r="T64" s="62">
        <f>IF(S64="","",IF(S64&lt;$B$10/100,"🔴 Critique",IF(S64&lt;($B$10+5)/100,"⚠️ Warning","✅ OK")))</f>
        <v/>
      </c>
      <c r="U64" s="63">
        <f>IF(A64="","",IFERROR(MAX(0,FLOOR(MIN((F64-$B$9/100*C64)/($B$5*$B$7/100),(G64*(1-$B$10/100)-H64)/($B$6/1024)),1)),""))</f>
        <v/>
      </c>
      <c r="V64" s="63">
        <f>IF(OR(A64="",M64="",M64=0),"",M64*$B$8)</f>
        <v/>
      </c>
    </row>
    <row r="67" ht="20" customHeight="1">
      <c r="A67" s="46" t="inlineStr">
        <is>
          <t xml:space="preserve">  📊  CPU &amp; RAM LIBRE : ACTUEL vs SIMULÉ</t>
        </is>
      </c>
    </row>
  </sheetData>
  <mergeCells count="12">
    <mergeCell ref="A2:V2"/>
    <mergeCell ref="A12:U12"/>
    <mergeCell ref="C7:J7"/>
    <mergeCell ref="A13:V13"/>
    <mergeCell ref="A1:V1"/>
    <mergeCell ref="C6:J6"/>
    <mergeCell ref="C10:J10"/>
    <mergeCell ref="A4:J4"/>
    <mergeCell ref="C5:J5"/>
    <mergeCell ref="A67:U67"/>
    <mergeCell ref="C8:J8"/>
    <mergeCell ref="C9:J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1A237E"/>
    <outlinePr summaryBelow="1" summaryRight="1"/>
    <pageSetUpPr/>
  </sheetPr>
  <dimension ref="A1:Q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2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 ht="50" customHeight="1">
      <c r="A1" s="1" t="inlineStr">
        <is>
          <t>🔮  PROJECTIONS DE CAPACITÉ – 12 MOIS</t>
        </is>
      </c>
    </row>
    <row r="2" ht="16" customHeight="1">
      <c r="A2" s="2" t="inlineStr">
        <is>
          <t>✅ Alimenté depuis tHosts / tDatastores / tVMs  |  Cellules bleues = modifiables</t>
        </is>
      </c>
    </row>
    <row r="4" ht="20" customHeight="1">
      <c r="A4" s="29" t="inlineStr">
        <is>
          <t xml:space="preserve">  ⚙️  HYPOTHÈSES  (cellules bleues)</t>
        </is>
      </c>
    </row>
    <row r="5" ht="19" customHeight="1">
      <c r="A5" s="66" t="inlineStr">
        <is>
          <t>Croissance VMs / mois</t>
        </is>
      </c>
      <c r="B5" s="67" t="n">
        <v>0.05</v>
      </c>
      <c r="C5" s="49" t="inlineStr">
        <is>
          <t>← % augmentation nb VMs/mois (0.05 = 5%)</t>
        </is>
      </c>
    </row>
    <row r="6" ht="19" customHeight="1">
      <c r="A6" s="66" t="inlineStr">
        <is>
          <t>Croissance CPU consommé / mois</t>
        </is>
      </c>
      <c r="B6" s="67" t="n">
        <v>0.04</v>
      </c>
      <c r="C6" s="49" t="inlineStr">
        <is>
          <t>← % augmentation usage CPU/mois</t>
        </is>
      </c>
    </row>
    <row r="7" ht="19" customHeight="1">
      <c r="A7" s="66" t="inlineStr">
        <is>
          <t>Croissance stockage utilisé / mois</t>
        </is>
      </c>
      <c r="B7" s="67" t="n">
        <v>0.06</v>
      </c>
      <c r="C7" s="49" t="inlineStr">
        <is>
          <t>← % augmentation stockage/mois</t>
        </is>
      </c>
    </row>
    <row r="8" ht="19" customHeight="1">
      <c r="A8" s="66" t="inlineStr">
        <is>
          <t>Croissance RAM consommée / mois</t>
        </is>
      </c>
      <c r="B8" s="67" t="n">
        <v>0.04</v>
      </c>
      <c r="C8" s="49" t="inlineStr">
        <is>
          <t>← % augmentation RAM/mois</t>
        </is>
      </c>
    </row>
    <row r="9" ht="19" customHeight="1">
      <c r="A9" s="66" t="inlineStr">
        <is>
          <t>Seuil alerte CPU libre (%)</t>
        </is>
      </c>
      <c r="B9" s="67" t="n">
        <v>0.2</v>
      </c>
      <c r="C9" s="49" t="inlineStr">
        <is>
          <t>← CPU libre &lt; seuil → Warning (0.20 = 20%)</t>
        </is>
      </c>
    </row>
    <row r="10" ht="19" customHeight="1">
      <c r="A10" s="66" t="inlineStr">
        <is>
          <t>Seuil alerte RAM libre (%)</t>
        </is>
      </c>
      <c r="B10" s="67" t="n">
        <v>0.2</v>
      </c>
      <c r="C10" s="49" t="inlineStr">
        <is>
          <t>← RAM libre &lt; seuil → Warning</t>
        </is>
      </c>
    </row>
    <row r="11" ht="19" customHeight="1">
      <c r="A11" s="66" t="inlineStr">
        <is>
          <t>Seuil alerte Stockage libre (%)</t>
        </is>
      </c>
      <c r="B11" s="67" t="n">
        <v>0.15</v>
      </c>
      <c r="C11" s="49" t="inlineStr">
        <is>
          <t>← Stockage libre &lt; seuil → Warning</t>
        </is>
      </c>
    </row>
    <row r="13" ht="20" customHeight="1">
      <c r="A13" s="29" t="inlineStr">
        <is>
          <t xml:space="preserve">  📅  TABLEAU DE PROJECTION M0 → M+12</t>
        </is>
      </c>
    </row>
    <row r="14" ht="32" customHeight="1">
      <c r="A14" s="38" t="inlineStr">
        <is>
          <t>Indicateur</t>
        </is>
      </c>
      <c r="B14" s="52" t="inlineStr">
        <is>
          <t>M0
(Actuel)</t>
        </is>
      </c>
      <c r="C14" s="3" t="inlineStr">
        <is>
          <t>M+1</t>
        </is>
      </c>
      <c r="D14" s="3" t="inlineStr">
        <is>
          <t>M+2</t>
        </is>
      </c>
      <c r="E14" s="3" t="inlineStr">
        <is>
          <t>M+3</t>
        </is>
      </c>
      <c r="F14" s="3" t="inlineStr">
        <is>
          <t>M+4</t>
        </is>
      </c>
      <c r="G14" s="3" t="inlineStr">
        <is>
          <t>M+5</t>
        </is>
      </c>
      <c r="H14" s="3" t="inlineStr">
        <is>
          <t>M+6</t>
        </is>
      </c>
      <c r="I14" s="3" t="inlineStr">
        <is>
          <t>M+7</t>
        </is>
      </c>
      <c r="J14" s="3" t="inlineStr">
        <is>
          <t>M+8</t>
        </is>
      </c>
      <c r="K14" s="3" t="inlineStr">
        <is>
          <t>M+9</t>
        </is>
      </c>
      <c r="L14" s="3" t="inlineStr">
        <is>
          <t>M+10</t>
        </is>
      </c>
      <c r="M14" s="3" t="inlineStr">
        <is>
          <t>M+11</t>
        </is>
      </c>
      <c r="N14" s="3" t="inlineStr">
        <is>
          <t>M+12</t>
        </is>
      </c>
    </row>
    <row r="15" ht="19" customHeight="1">
      <c r="A15" s="68" t="inlineStr">
        <is>
          <t>── VMs ──</t>
        </is>
      </c>
      <c r="B15" s="69" t="n"/>
      <c r="C15" s="69" t="n"/>
      <c r="D15" s="69" t="n"/>
      <c r="E15" s="69" t="n"/>
      <c r="F15" s="69" t="n"/>
      <c r="G15" s="69" t="n"/>
      <c r="H15" s="69" t="n"/>
      <c r="I15" s="69" t="n"/>
      <c r="J15" s="69" t="n"/>
      <c r="K15" s="69" t="n"/>
      <c r="L15" s="69" t="n"/>
      <c r="M15" s="69" t="n"/>
      <c r="N15" s="69" t="n"/>
      <c r="O15" s="69" t="n"/>
    </row>
    <row r="16" ht="19" customHeight="1">
      <c r="A16" s="70" t="inlineStr">
        <is>
          <t>Nb VMs (total)</t>
        </is>
      </c>
      <c r="B16" s="35">
        <f>COUNTA(tVMs[Name])</f>
        <v/>
      </c>
      <c r="C16" s="35">
        <f>B16*(1+$B$5)</f>
        <v/>
      </c>
      <c r="D16" s="35">
        <f>C16*(1+$B$5)</f>
        <v/>
      </c>
      <c r="E16" s="35">
        <f>D16*(1+$B$5)</f>
        <v/>
      </c>
      <c r="F16" s="35">
        <f>E16*(1+$B$5)</f>
        <v/>
      </c>
      <c r="G16" s="35">
        <f>F16*(1+$B$5)</f>
        <v/>
      </c>
      <c r="H16" s="35">
        <f>G16*(1+$B$5)</f>
        <v/>
      </c>
      <c r="I16" s="35">
        <f>H16*(1+$B$5)</f>
        <v/>
      </c>
      <c r="J16" s="35">
        <f>I16*(1+$B$5)</f>
        <v/>
      </c>
      <c r="K16" s="35">
        <f>J16*(1+$B$5)</f>
        <v/>
      </c>
      <c r="L16" s="35">
        <f>K16*(1+$B$5)</f>
        <v/>
      </c>
      <c r="M16" s="35">
        <f>L16*(1+$B$5)</f>
        <v/>
      </c>
      <c r="N16" s="35">
        <f>M16*(1+$B$5)</f>
        <v/>
      </c>
    </row>
    <row r="17" ht="19" customHeight="1">
      <c r="A17" s="70" t="inlineStr">
        <is>
          <t>VMs poweredOn</t>
        </is>
      </c>
      <c r="B17" s="31">
        <f>COUNTIF(tVMs[State],"poweredOn")</f>
        <v/>
      </c>
      <c r="C17" s="31">
        <f>B17*(1+$B$5)</f>
        <v/>
      </c>
      <c r="D17" s="31">
        <f>C17*(1+$B$5)</f>
        <v/>
      </c>
      <c r="E17" s="31">
        <f>D17*(1+$B$5)</f>
        <v/>
      </c>
      <c r="F17" s="31">
        <f>E17*(1+$B$5)</f>
        <v/>
      </c>
      <c r="G17" s="31">
        <f>F17*(1+$B$5)</f>
        <v/>
      </c>
      <c r="H17" s="31">
        <f>G17*(1+$B$5)</f>
        <v/>
      </c>
      <c r="I17" s="31">
        <f>H17*(1+$B$5)</f>
        <v/>
      </c>
      <c r="J17" s="31">
        <f>I17*(1+$B$5)</f>
        <v/>
      </c>
      <c r="K17" s="31">
        <f>J17*(1+$B$5)</f>
        <v/>
      </c>
      <c r="L17" s="31">
        <f>K17*(1+$B$5)</f>
        <v/>
      </c>
      <c r="M17" s="31">
        <f>L17*(1+$B$5)</f>
        <v/>
      </c>
      <c r="N17" s="31">
        <f>M17*(1+$B$5)</f>
        <v/>
      </c>
    </row>
    <row r="18" ht="19" customHeight="1">
      <c r="A18" s="68" t="inlineStr">
        <is>
          <t>── CPU ──</t>
        </is>
      </c>
      <c r="B18" s="69" t="n"/>
      <c r="C18" s="69" t="n"/>
      <c r="D18" s="69" t="n"/>
      <c r="E18" s="69" t="n"/>
      <c r="F18" s="69" t="n"/>
      <c r="G18" s="69" t="n"/>
      <c r="H18" s="69" t="n"/>
      <c r="I18" s="69" t="n"/>
      <c r="J18" s="69" t="n"/>
      <c r="K18" s="69" t="n"/>
      <c r="L18" s="69" t="n"/>
      <c r="M18" s="69" t="n"/>
      <c r="N18" s="69" t="n"/>
      <c r="O18" s="69" t="n"/>
    </row>
    <row r="19" ht="19" customHeight="1">
      <c r="A19" s="70" t="inlineStr">
        <is>
          <t>CPU cons. moy. (%)</t>
        </is>
      </c>
      <c r="B19" s="32">
        <f>IFERROR(AVERAGEIF(tHosts[State],"Connected",tHosts[Consumed CPU %])/100,0)</f>
        <v/>
      </c>
      <c r="C19" s="32">
        <f>B19*(1+$B$6)</f>
        <v/>
      </c>
      <c r="D19" s="32">
        <f>C19*(1+$B$6)</f>
        <v/>
      </c>
      <c r="E19" s="32">
        <f>D19*(1+$B$6)</f>
        <v/>
      </c>
      <c r="F19" s="32">
        <f>E19*(1+$B$6)</f>
        <v/>
      </c>
      <c r="G19" s="32">
        <f>F19*(1+$B$6)</f>
        <v/>
      </c>
      <c r="H19" s="32">
        <f>G19*(1+$B$6)</f>
        <v/>
      </c>
      <c r="I19" s="32">
        <f>H19*(1+$B$6)</f>
        <v/>
      </c>
      <c r="J19" s="32">
        <f>I19*(1+$B$6)</f>
        <v/>
      </c>
      <c r="K19" s="32">
        <f>J19*(1+$B$6)</f>
        <v/>
      </c>
      <c r="L19" s="32">
        <f>K19*(1+$B$6)</f>
        <v/>
      </c>
      <c r="M19" s="32">
        <f>L19*(1+$B$6)</f>
        <v/>
      </c>
      <c r="N19" s="32">
        <f>M19*(1+$B$6)</f>
        <v/>
      </c>
    </row>
    <row r="20" ht="19" customHeight="1">
      <c r="A20" s="70" t="inlineStr">
        <is>
          <t>CPU libre moy. (%)</t>
        </is>
      </c>
      <c r="B20" s="36">
        <f>IFERROR(1-B19,0)</f>
        <v/>
      </c>
      <c r="C20" s="36">
        <f>IFERROR(1-C19,0)</f>
        <v/>
      </c>
      <c r="D20" s="36">
        <f>IFERROR(1-D19,0)</f>
        <v/>
      </c>
      <c r="E20" s="36">
        <f>IFERROR(1-E19,0)</f>
        <v/>
      </c>
      <c r="F20" s="36">
        <f>IFERROR(1-F19,0)</f>
        <v/>
      </c>
      <c r="G20" s="36">
        <f>IFERROR(1-G19,0)</f>
        <v/>
      </c>
      <c r="H20" s="36">
        <f>IFERROR(1-H19,0)</f>
        <v/>
      </c>
      <c r="I20" s="36">
        <f>IFERROR(1-I19,0)</f>
        <v/>
      </c>
      <c r="J20" s="36">
        <f>IFERROR(1-J19,0)</f>
        <v/>
      </c>
      <c r="K20" s="36">
        <f>IFERROR(1-K19,0)</f>
        <v/>
      </c>
      <c r="L20" s="36">
        <f>IFERROR(1-L19,0)</f>
        <v/>
      </c>
      <c r="M20" s="36">
        <f>IFERROR(1-M19,0)</f>
        <v/>
      </c>
      <c r="N20" s="36">
        <f>IFERROR(1-N19,0)</f>
        <v/>
      </c>
    </row>
    <row r="21" ht="19" customHeight="1">
      <c r="A21" s="70" t="inlineStr">
        <is>
          <t>Statut CPU</t>
        </is>
      </c>
      <c r="B21" s="33">
        <f>IF(B20&lt;$B$9,"🔴 Critique",IF(B20&lt;$B$9+0.05,"⚠️ Warning","✅ OK"))</f>
        <v/>
      </c>
      <c r="C21" s="33">
        <f>IF(C20&lt;$B$9,"🔴 Critique",IF(C20&lt;$B$9+0.05,"⚠️ Warning","✅ OK"))</f>
        <v/>
      </c>
      <c r="D21" s="33">
        <f>IF(D20&lt;$B$9,"🔴 Critique",IF(D20&lt;$B$9+0.05,"⚠️ Warning","✅ OK"))</f>
        <v/>
      </c>
      <c r="E21" s="33">
        <f>IF(E20&lt;$B$9,"🔴 Critique",IF(E20&lt;$B$9+0.05,"⚠️ Warning","✅ OK"))</f>
        <v/>
      </c>
      <c r="F21" s="33">
        <f>IF(F20&lt;$B$9,"🔴 Critique",IF(F20&lt;$B$9+0.05,"⚠️ Warning","✅ OK"))</f>
        <v/>
      </c>
      <c r="G21" s="33">
        <f>IF(G20&lt;$B$9,"🔴 Critique",IF(G20&lt;$B$9+0.05,"⚠️ Warning","✅ OK"))</f>
        <v/>
      </c>
      <c r="H21" s="33">
        <f>IF(H20&lt;$B$9,"🔴 Critique",IF(H20&lt;$B$9+0.05,"⚠️ Warning","✅ OK"))</f>
        <v/>
      </c>
      <c r="I21" s="33">
        <f>IF(I20&lt;$B$9,"🔴 Critique",IF(I20&lt;$B$9+0.05,"⚠️ Warning","✅ OK"))</f>
        <v/>
      </c>
      <c r="J21" s="33">
        <f>IF(J20&lt;$B$9,"🔴 Critique",IF(J20&lt;$B$9+0.05,"⚠️ Warning","✅ OK"))</f>
        <v/>
      </c>
      <c r="K21" s="33">
        <f>IF(K20&lt;$B$9,"🔴 Critique",IF(K20&lt;$B$9+0.05,"⚠️ Warning","✅ OK"))</f>
        <v/>
      </c>
      <c r="L21" s="33">
        <f>IF(L20&lt;$B$9,"🔴 Critique",IF(L20&lt;$B$9+0.05,"⚠️ Warning","✅ OK"))</f>
        <v/>
      </c>
      <c r="M21" s="33">
        <f>IF(M20&lt;$B$9,"🔴 Critique",IF(M20&lt;$B$9+0.05,"⚠️ Warning","✅ OK"))</f>
        <v/>
      </c>
      <c r="N21" s="33">
        <f>IF(N20&lt;$B$9,"🔴 Critique",IF(N20&lt;$B$9+0.05,"⚠️ Warning","✅ OK"))</f>
        <v/>
      </c>
    </row>
    <row r="22" ht="19" customHeight="1">
      <c r="A22" s="68" t="inlineStr">
        <is>
          <t>── RAM ──</t>
        </is>
      </c>
      <c r="B22" s="69" t="n"/>
      <c r="C22" s="69" t="n"/>
      <c r="D22" s="69" t="n"/>
      <c r="E22" s="69" t="n"/>
      <c r="F22" s="69" t="n"/>
      <c r="G22" s="69" t="n"/>
      <c r="H22" s="69" t="n"/>
      <c r="I22" s="69" t="n"/>
      <c r="J22" s="69" t="n"/>
      <c r="K22" s="69" t="n"/>
      <c r="L22" s="69" t="n"/>
      <c r="M22" s="69" t="n"/>
      <c r="N22" s="69" t="n"/>
      <c r="O22" s="69" t="n"/>
    </row>
    <row r="23" ht="19" customHeight="1">
      <c r="A23" s="70" t="inlineStr">
        <is>
          <t>RAM cons. (GB)</t>
        </is>
      </c>
      <c r="B23" s="31">
        <f>IFERROR(ROUND(SUMPRODUCT((tHosts[State]="Connected")*tHosts[Memory Size (MB)]*tHosts[Consumed Memory %]/100)/1024,0),0)</f>
        <v/>
      </c>
      <c r="C23" s="31">
        <f>B23*(1+$B$8)</f>
        <v/>
      </c>
      <c r="D23" s="31">
        <f>C23*(1+$B$8)</f>
        <v/>
      </c>
      <c r="E23" s="31">
        <f>D23*(1+$B$8)</f>
        <v/>
      </c>
      <c r="F23" s="31">
        <f>E23*(1+$B$8)</f>
        <v/>
      </c>
      <c r="G23" s="31">
        <f>F23*(1+$B$8)</f>
        <v/>
      </c>
      <c r="H23" s="31">
        <f>G23*(1+$B$8)</f>
        <v/>
      </c>
      <c r="I23" s="31">
        <f>H23*(1+$B$8)</f>
        <v/>
      </c>
      <c r="J23" s="31">
        <f>I23*(1+$B$8)</f>
        <v/>
      </c>
      <c r="K23" s="31">
        <f>J23*(1+$B$8)</f>
        <v/>
      </c>
      <c r="L23" s="31">
        <f>K23*(1+$B$8)</f>
        <v/>
      </c>
      <c r="M23" s="31">
        <f>L23*(1+$B$8)</f>
        <v/>
      </c>
      <c r="N23" s="31">
        <f>M23*(1+$B$8)</f>
        <v/>
      </c>
    </row>
    <row r="24" ht="19" customHeight="1">
      <c r="A24" s="70" t="inlineStr">
        <is>
          <t>RAM totale (GB)</t>
        </is>
      </c>
      <c r="B24" s="35">
        <f>IFERROR(ROUND(SUMIF(tHosts[State],"Connected",tHosts[Memory Size (MB)])/1024,0),0)</f>
        <v/>
      </c>
      <c r="C24" s="35">
        <f>B24</f>
        <v/>
      </c>
      <c r="D24" s="35">
        <f>C24</f>
        <v/>
      </c>
      <c r="E24" s="35">
        <f>D24</f>
        <v/>
      </c>
      <c r="F24" s="35">
        <f>E24</f>
        <v/>
      </c>
      <c r="G24" s="35">
        <f>F24</f>
        <v/>
      </c>
      <c r="H24" s="35">
        <f>G24</f>
        <v/>
      </c>
      <c r="I24" s="35">
        <f>H24</f>
        <v/>
      </c>
      <c r="J24" s="35">
        <f>I24</f>
        <v/>
      </c>
      <c r="K24" s="35">
        <f>J24</f>
        <v/>
      </c>
      <c r="L24" s="35">
        <f>K24</f>
        <v/>
      </c>
      <c r="M24" s="35">
        <f>L24</f>
        <v/>
      </c>
      <c r="N24" s="35">
        <f>M24</f>
        <v/>
      </c>
    </row>
    <row r="25" ht="19" customHeight="1">
      <c r="A25" s="70" t="inlineStr">
        <is>
          <t>RAM libre (%)</t>
        </is>
      </c>
      <c r="B25" s="32">
        <f>IFERROR(1-B23/B24,0)</f>
        <v/>
      </c>
      <c r="C25" s="32">
        <f>IFERROR(1-C23/C24,0)</f>
        <v/>
      </c>
      <c r="D25" s="32">
        <f>IFERROR(1-D23/D24,0)</f>
        <v/>
      </c>
      <c r="E25" s="32">
        <f>IFERROR(1-E23/E24,0)</f>
        <v/>
      </c>
      <c r="F25" s="32">
        <f>IFERROR(1-F23/F24,0)</f>
        <v/>
      </c>
      <c r="G25" s="32">
        <f>IFERROR(1-G23/G24,0)</f>
        <v/>
      </c>
      <c r="H25" s="32">
        <f>IFERROR(1-H23/H24,0)</f>
        <v/>
      </c>
      <c r="I25" s="32">
        <f>IFERROR(1-I23/I24,0)</f>
        <v/>
      </c>
      <c r="J25" s="32">
        <f>IFERROR(1-J23/J24,0)</f>
        <v/>
      </c>
      <c r="K25" s="32">
        <f>IFERROR(1-K23/K24,0)</f>
        <v/>
      </c>
      <c r="L25" s="32">
        <f>IFERROR(1-L23/L24,0)</f>
        <v/>
      </c>
      <c r="M25" s="32">
        <f>IFERROR(1-M23/M24,0)</f>
        <v/>
      </c>
      <c r="N25" s="32">
        <f>IFERROR(1-N23/N24,0)</f>
        <v/>
      </c>
    </row>
    <row r="26" ht="19" customHeight="1">
      <c r="A26" s="70" t="inlineStr">
        <is>
          <t>Statut RAM</t>
        </is>
      </c>
      <c r="B26" s="37">
        <f>IF(B25&lt;$B$10,"🔴 Critique",IF(B25&lt;$B$10+0.05,"⚠️ Warning","✅ OK"))</f>
        <v/>
      </c>
      <c r="C26" s="37">
        <f>IF(C25&lt;$B$10,"🔴 Critique",IF(C25&lt;$B$10+0.05,"⚠️ Warning","✅ OK"))</f>
        <v/>
      </c>
      <c r="D26" s="37">
        <f>IF(D25&lt;$B$10,"🔴 Critique",IF(D25&lt;$B$10+0.05,"⚠️ Warning","✅ OK"))</f>
        <v/>
      </c>
      <c r="E26" s="37">
        <f>IF(E25&lt;$B$10,"🔴 Critique",IF(E25&lt;$B$10+0.05,"⚠️ Warning","✅ OK"))</f>
        <v/>
      </c>
      <c r="F26" s="37">
        <f>IF(F25&lt;$B$10,"🔴 Critique",IF(F25&lt;$B$10+0.05,"⚠️ Warning","✅ OK"))</f>
        <v/>
      </c>
      <c r="G26" s="37">
        <f>IF(G25&lt;$B$10,"🔴 Critique",IF(G25&lt;$B$10+0.05,"⚠️ Warning","✅ OK"))</f>
        <v/>
      </c>
      <c r="H26" s="37">
        <f>IF(H25&lt;$B$10,"🔴 Critique",IF(H25&lt;$B$10+0.05,"⚠️ Warning","✅ OK"))</f>
        <v/>
      </c>
      <c r="I26" s="37">
        <f>IF(I25&lt;$B$10,"🔴 Critique",IF(I25&lt;$B$10+0.05,"⚠️ Warning","✅ OK"))</f>
        <v/>
      </c>
      <c r="J26" s="37">
        <f>IF(J25&lt;$B$10,"🔴 Critique",IF(J25&lt;$B$10+0.05,"⚠️ Warning","✅ OK"))</f>
        <v/>
      </c>
      <c r="K26" s="37">
        <f>IF(K25&lt;$B$10,"🔴 Critique",IF(K25&lt;$B$10+0.05,"⚠️ Warning","✅ OK"))</f>
        <v/>
      </c>
      <c r="L26" s="37">
        <f>IF(L25&lt;$B$10,"🔴 Critique",IF(L25&lt;$B$10+0.05,"⚠️ Warning","✅ OK"))</f>
        <v/>
      </c>
      <c r="M26" s="37">
        <f>IF(M25&lt;$B$10,"🔴 Critique",IF(M25&lt;$B$10+0.05,"⚠️ Warning","✅ OK"))</f>
        <v/>
      </c>
      <c r="N26" s="37">
        <f>IF(N25&lt;$B$10,"🔴 Critique",IF(N25&lt;$B$10+0.05,"⚠️ Warning","✅ OK"))</f>
        <v/>
      </c>
    </row>
    <row r="27" ht="19" customHeight="1">
      <c r="A27" s="68" t="inlineStr">
        <is>
          <t>── Stockage ──</t>
        </is>
      </c>
      <c r="B27" s="69" t="n"/>
      <c r="C27" s="69" t="n"/>
      <c r="D27" s="69" t="n"/>
      <c r="E27" s="69" t="n"/>
      <c r="F27" s="69" t="n"/>
      <c r="G27" s="69" t="n"/>
      <c r="H27" s="69" t="n"/>
      <c r="I27" s="69" t="n"/>
      <c r="J27" s="69" t="n"/>
      <c r="K27" s="69" t="n"/>
      <c r="L27" s="69" t="n"/>
      <c r="M27" s="69" t="n"/>
      <c r="N27" s="69" t="n"/>
      <c r="O27" s="69" t="n"/>
    </row>
    <row r="28" ht="19" customHeight="1">
      <c r="A28" s="70" t="inlineStr">
        <is>
          <t>Stockage utilisé (GB)</t>
        </is>
      </c>
      <c r="B28" s="35">
        <f>IFERROR(SUM(tDatastores[Capacity])-SUM(tDatastores[Free]),0)</f>
        <v/>
      </c>
      <c r="C28" s="35">
        <f>B28*(1+$B$7)</f>
        <v/>
      </c>
      <c r="D28" s="35">
        <f>C28*(1+$B$7)</f>
        <v/>
      </c>
      <c r="E28" s="35">
        <f>D28*(1+$B$7)</f>
        <v/>
      </c>
      <c r="F28" s="35">
        <f>E28*(1+$B$7)</f>
        <v/>
      </c>
      <c r="G28" s="35">
        <f>F28*(1+$B$7)</f>
        <v/>
      </c>
      <c r="H28" s="35">
        <f>G28*(1+$B$7)</f>
        <v/>
      </c>
      <c r="I28" s="35">
        <f>H28*(1+$B$7)</f>
        <v/>
      </c>
      <c r="J28" s="35">
        <f>I28*(1+$B$7)</f>
        <v/>
      </c>
      <c r="K28" s="35">
        <f>J28*(1+$B$7)</f>
        <v/>
      </c>
      <c r="L28" s="35">
        <f>K28*(1+$B$7)</f>
        <v/>
      </c>
      <c r="M28" s="35">
        <f>L28*(1+$B$7)</f>
        <v/>
      </c>
      <c r="N28" s="35">
        <f>M28*(1+$B$7)</f>
        <v/>
      </c>
    </row>
    <row r="29" ht="19" customHeight="1">
      <c r="A29" s="70" t="inlineStr">
        <is>
          <t>Stockage total (GB)</t>
        </is>
      </c>
      <c r="B29" s="31">
        <f>IFERROR(SUM(tDatastores[Capacity]),0)</f>
        <v/>
      </c>
      <c r="C29" s="31">
        <f>B29</f>
        <v/>
      </c>
      <c r="D29" s="31">
        <f>C29</f>
        <v/>
      </c>
      <c r="E29" s="31">
        <f>D29</f>
        <v/>
      </c>
      <c r="F29" s="31">
        <f>E29</f>
        <v/>
      </c>
      <c r="G29" s="31">
        <f>F29</f>
        <v/>
      </c>
      <c r="H29" s="31">
        <f>G29</f>
        <v/>
      </c>
      <c r="I29" s="31">
        <f>H29</f>
        <v/>
      </c>
      <c r="J29" s="31">
        <f>I29</f>
        <v/>
      </c>
      <c r="K29" s="31">
        <f>J29</f>
        <v/>
      </c>
      <c r="L29" s="31">
        <f>K29</f>
        <v/>
      </c>
      <c r="M29" s="31">
        <f>L29</f>
        <v/>
      </c>
      <c r="N29" s="31">
        <f>M29</f>
        <v/>
      </c>
    </row>
    <row r="30" ht="19" customHeight="1">
      <c r="A30" s="70" t="inlineStr">
        <is>
          <t>Stockage libre (%)</t>
        </is>
      </c>
      <c r="B30" s="36">
        <f>IFERROR(1-B28/B29,0)</f>
        <v/>
      </c>
      <c r="C30" s="36">
        <f>IFERROR(1-C28/C29,0)</f>
        <v/>
      </c>
      <c r="D30" s="36">
        <f>IFERROR(1-D28/D29,0)</f>
        <v/>
      </c>
      <c r="E30" s="36">
        <f>IFERROR(1-E28/E29,0)</f>
        <v/>
      </c>
      <c r="F30" s="36">
        <f>IFERROR(1-F28/F29,0)</f>
        <v/>
      </c>
      <c r="G30" s="36">
        <f>IFERROR(1-G28/G29,0)</f>
        <v/>
      </c>
      <c r="H30" s="36">
        <f>IFERROR(1-H28/H29,0)</f>
        <v/>
      </c>
      <c r="I30" s="36">
        <f>IFERROR(1-I28/I29,0)</f>
        <v/>
      </c>
      <c r="J30" s="36">
        <f>IFERROR(1-J28/J29,0)</f>
        <v/>
      </c>
      <c r="K30" s="36">
        <f>IFERROR(1-K28/K29,0)</f>
        <v/>
      </c>
      <c r="L30" s="36">
        <f>IFERROR(1-L28/L29,0)</f>
        <v/>
      </c>
      <c r="M30" s="36">
        <f>IFERROR(1-M28/M29,0)</f>
        <v/>
      </c>
      <c r="N30" s="36">
        <f>IFERROR(1-N28/N29,0)</f>
        <v/>
      </c>
    </row>
    <row r="31" ht="19" customHeight="1">
      <c r="A31" s="70" t="inlineStr">
        <is>
          <t>Statut Stockage</t>
        </is>
      </c>
      <c r="B31" s="33">
        <f>IF(B30&lt;$B$11,"🔴 Critique",IF(B30&lt;$B$11+0.05,"⚠️ Warning","✅ OK"))</f>
        <v/>
      </c>
      <c r="C31" s="33">
        <f>IF(C30&lt;$B$11,"🔴 Critique",IF(C30&lt;$B$11+0.05,"⚠️ Warning","✅ OK"))</f>
        <v/>
      </c>
      <c r="D31" s="33">
        <f>IF(D30&lt;$B$11,"🔴 Critique",IF(D30&lt;$B$11+0.05,"⚠️ Warning","✅ OK"))</f>
        <v/>
      </c>
      <c r="E31" s="33">
        <f>IF(E30&lt;$B$11,"🔴 Critique",IF(E30&lt;$B$11+0.05,"⚠️ Warning","✅ OK"))</f>
        <v/>
      </c>
      <c r="F31" s="33">
        <f>IF(F30&lt;$B$11,"🔴 Critique",IF(F30&lt;$B$11+0.05,"⚠️ Warning","✅ OK"))</f>
        <v/>
      </c>
      <c r="G31" s="33">
        <f>IF(G30&lt;$B$11,"🔴 Critique",IF(G30&lt;$B$11+0.05,"⚠️ Warning","✅ OK"))</f>
        <v/>
      </c>
      <c r="H31" s="33">
        <f>IF(H30&lt;$B$11,"🔴 Critique",IF(H30&lt;$B$11+0.05,"⚠️ Warning","✅ OK"))</f>
        <v/>
      </c>
      <c r="I31" s="33">
        <f>IF(I30&lt;$B$11,"🔴 Critique",IF(I30&lt;$B$11+0.05,"⚠️ Warning","✅ OK"))</f>
        <v/>
      </c>
      <c r="J31" s="33">
        <f>IF(J30&lt;$B$11,"🔴 Critique",IF(J30&lt;$B$11+0.05,"⚠️ Warning","✅ OK"))</f>
        <v/>
      </c>
      <c r="K31" s="33">
        <f>IF(K30&lt;$B$11,"🔴 Critique",IF(K30&lt;$B$11+0.05,"⚠️ Warning","✅ OK"))</f>
        <v/>
      </c>
      <c r="L31" s="33">
        <f>IF(L30&lt;$B$11,"🔴 Critique",IF(L30&lt;$B$11+0.05,"⚠️ Warning","✅ OK"))</f>
        <v/>
      </c>
      <c r="M31" s="33">
        <f>IF(M30&lt;$B$11,"🔴 Critique",IF(M30&lt;$B$11+0.05,"⚠️ Warning","✅ OK"))</f>
        <v/>
      </c>
      <c r="N31" s="33">
        <f>IF(N30&lt;$B$11,"🔴 Critique",IF(N30&lt;$B$11+0.05,"⚠️ Warning","✅ OK"))</f>
        <v/>
      </c>
    </row>
    <row r="34" ht="20" customHeight="1">
      <c r="A34" s="29" t="inlineStr">
        <is>
          <t xml:space="preserve">  📈  GRAPHIQUES DE PROJECTION</t>
        </is>
      </c>
    </row>
  </sheetData>
  <mergeCells count="9">
    <mergeCell ref="A15:O15"/>
    <mergeCell ref="A4:E4"/>
    <mergeCell ref="A13:P13"/>
    <mergeCell ref="A2:Q2"/>
    <mergeCell ref="A34:P34"/>
    <mergeCell ref="A27:O27"/>
    <mergeCell ref="A22:O22"/>
    <mergeCell ref="A18:O18"/>
    <mergeCell ref="A1:Q1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B71C1C"/>
    <outlinePr summaryBelow="1" summaryRight="1"/>
    <pageSetUpPr/>
  </sheetPr>
  <dimension ref="A1:U4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7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</cols>
  <sheetData>
    <row r="1" ht="10" customHeight="1">
      <c r="A1" s="71" t="n"/>
      <c r="B1" s="71" t="n"/>
      <c r="C1" s="71" t="n"/>
      <c r="D1" s="71" t="n"/>
      <c r="E1" s="71" t="n"/>
      <c r="F1" s="71" t="n"/>
      <c r="G1" s="71" t="n"/>
      <c r="H1" s="71" t="n"/>
      <c r="I1" s="71" t="n"/>
      <c r="J1" s="71" t="n"/>
      <c r="K1" s="71" t="n"/>
      <c r="L1" s="71" t="n"/>
      <c r="M1" s="71" t="n"/>
      <c r="N1" s="71" t="n"/>
      <c r="O1" s="71" t="n"/>
      <c r="P1" s="71" t="n"/>
      <c r="Q1" s="71" t="n"/>
      <c r="R1" s="71" t="n"/>
      <c r="S1" s="71" t="n"/>
      <c r="T1" s="71" t="n"/>
      <c r="U1" s="71" t="n"/>
    </row>
    <row r="2" ht="58" customHeight="1">
      <c r="A2" s="71" t="n"/>
      <c r="B2" s="72" t="inlineStr">
        <is>
          <t>📈  VMWARE CAPACITY PLANNING — DASHBOARD</t>
        </is>
      </c>
    </row>
    <row r="3" ht="6" customHeight="1">
      <c r="A3" s="73" t="n"/>
      <c r="B3" s="73" t="n"/>
      <c r="C3" s="73" t="n"/>
      <c r="D3" s="73" t="n"/>
      <c r="E3" s="73" t="n"/>
      <c r="F3" s="73" t="n"/>
      <c r="G3" s="73" t="n"/>
      <c r="H3" s="73" t="n"/>
      <c r="I3" s="73" t="n"/>
      <c r="J3" s="73" t="n"/>
      <c r="K3" s="73" t="n"/>
      <c r="L3" s="73" t="n"/>
      <c r="M3" s="73" t="n"/>
      <c r="N3" s="73" t="n"/>
      <c r="O3" s="73" t="n"/>
      <c r="P3" s="73" t="n"/>
      <c r="Q3" s="73" t="n"/>
      <c r="R3" s="73" t="n"/>
      <c r="S3" s="73" t="n"/>
      <c r="T3" s="73" t="n"/>
      <c r="U3" s="73" t="n"/>
    </row>
    <row r="4" ht="18" customHeight="1">
      <c r="B4" s="74" t="inlineStr">
        <is>
          <t>Généré le 24 March 2026  |  vCenter 8.x  |  Alimenté automatiquement par tHosts / tDatastores / tVMs</t>
        </is>
      </c>
    </row>
    <row r="6" ht="20" customHeight="1">
      <c r="B6" s="29" t="inlineStr">
        <is>
          <t xml:space="preserve">  🖥️  COMPUTE</t>
        </is>
      </c>
    </row>
    <row r="7" ht="18" customHeight="1">
      <c r="B7" s="16" t="inlineStr">
        <is>
          <t>Hosts connectés</t>
        </is>
      </c>
      <c r="C7" s="17" t="n"/>
      <c r="F7" s="16" t="inlineStr">
        <is>
          <t>Total CPUs</t>
        </is>
      </c>
      <c r="G7" s="17" t="n"/>
      <c r="J7" s="18" t="inlineStr">
        <is>
          <t>CPU cons. moy.</t>
        </is>
      </c>
      <c r="K7" s="17" t="n"/>
      <c r="N7" s="19" t="inlineStr">
        <is>
          <t>CPU libre moy.</t>
        </is>
      </c>
      <c r="O7" s="17" t="n"/>
      <c r="R7" s="16" t="inlineStr">
        <is>
          <t>RAM Totale</t>
        </is>
      </c>
      <c r="S7" s="17" t="n"/>
    </row>
    <row r="8" ht="40" customHeight="1">
      <c r="B8" s="21">
        <f>COUNTIF(tHosts[State],"Connected")</f>
        <v/>
      </c>
      <c r="C8" s="17" t="n"/>
      <c r="F8" s="21">
        <f>SUMIF(tHosts[State],"Connected",tHosts[CPUs])</f>
        <v/>
      </c>
      <c r="G8" s="17" t="n"/>
      <c r="J8" s="22">
        <f>IFERROR(AVERAGEIF(tHosts[State],"Connected",tHosts[Consumed CPU %])/100,0)</f>
        <v/>
      </c>
      <c r="K8" s="17" t="n"/>
      <c r="N8" s="23">
        <f>IFERROR(1-AVERAGEIF(tHosts[State],"Connected",tHosts[Consumed CPU %])/100,0)</f>
        <v/>
      </c>
      <c r="O8" s="17" t="n"/>
      <c r="R8" s="21">
        <f>IFERROR(ROUND(SUMIF(tHosts[State],"Connected",tHosts[Memory Size (MB)])/1024,0),0)</f>
        <v/>
      </c>
      <c r="S8" s="17" t="n"/>
    </row>
    <row r="9" ht="14" customHeight="1">
      <c r="B9" s="25" t="inlineStr">
        <is>
          <t>actifs</t>
        </is>
      </c>
      <c r="C9" s="17" t="n"/>
      <c r="F9" s="25" t="inlineStr">
        <is>
          <t>logiques</t>
        </is>
      </c>
      <c r="G9" s="17" t="n"/>
      <c r="J9" s="26" t="inlineStr">
        <is>
          <t>moy.cluster</t>
        </is>
      </c>
      <c r="K9" s="17" t="n"/>
      <c r="N9" s="27" t="inlineStr">
        <is>
          <t>moy.cluster</t>
        </is>
      </c>
      <c r="O9" s="17" t="n"/>
      <c r="R9" s="25" t="inlineStr">
        <is>
          <t>GB total</t>
        </is>
      </c>
      <c r="S9" s="17" t="n"/>
    </row>
    <row r="11" ht="20" customHeight="1">
      <c r="B11" s="44" t="inlineStr">
        <is>
          <t xml:space="preserve">  💽  STOCKAGE &amp; VMs</t>
        </is>
      </c>
    </row>
    <row r="12" ht="18" customHeight="1">
      <c r="B12" s="16" t="inlineStr">
        <is>
          <t>Total VMs</t>
        </is>
      </c>
      <c r="C12" s="17" t="n"/>
      <c r="F12" s="19" t="inlineStr">
        <is>
          <t>VMs actives</t>
        </is>
      </c>
      <c r="G12" s="17" t="n"/>
      <c r="J12" s="18" t="inlineStr">
        <is>
          <t>VMs éteintes</t>
        </is>
      </c>
      <c r="K12" s="17" t="n"/>
      <c r="N12" s="16" t="inlineStr">
        <is>
          <t>Cap. Stockage</t>
        </is>
      </c>
      <c r="O12" s="17" t="n"/>
      <c r="R12" s="20" t="inlineStr">
        <is>
          <t>Usage Stockage</t>
        </is>
      </c>
      <c r="S12" s="17" t="n"/>
    </row>
    <row r="13" ht="40" customHeight="1">
      <c r="B13" s="21">
        <f>COUNTA(tVMs[Name])</f>
        <v/>
      </c>
      <c r="C13" s="17" t="n"/>
      <c r="F13" s="41">
        <f>COUNTIF(tVMs[State],"poweredOn")</f>
        <v/>
      </c>
      <c r="G13" s="17" t="n"/>
      <c r="J13" s="75">
        <f>COUNTIF(tVMs[State],"poweredOff")</f>
        <v/>
      </c>
      <c r="K13" s="17" t="n"/>
      <c r="N13" s="76">
        <f>IFERROR(ROUND(SUM(tDatastores[Capacity])/1024,1),0)</f>
        <v/>
      </c>
      <c r="O13" s="17" t="n"/>
      <c r="R13" s="77">
        <f>IFERROR(1-SUM(tDatastores[Free])/SUM(tDatastores[Capacity]),0)</f>
        <v/>
      </c>
      <c r="S13" s="17" t="n"/>
    </row>
    <row r="14" ht="14" customHeight="1">
      <c r="B14" s="25" t="inlineStr">
        <is>
          <t>VMs inventaire</t>
        </is>
      </c>
      <c r="C14" s="17" t="n"/>
      <c r="F14" s="27" t="inlineStr">
        <is>
          <t>poweredOn</t>
        </is>
      </c>
      <c r="G14" s="17" t="n"/>
      <c r="J14" s="26" t="inlineStr">
        <is>
          <t>poweredOff</t>
        </is>
      </c>
      <c r="K14" s="17" t="n"/>
      <c r="N14" s="25" t="inlineStr">
        <is>
          <t>TB total</t>
        </is>
      </c>
      <c r="O14" s="17" t="n"/>
      <c r="R14" s="28" t="inlineStr">
        <is>
          <t>% utilisé global</t>
        </is>
      </c>
      <c r="S14" s="17" t="n"/>
    </row>
    <row r="16" ht="20" customHeight="1">
      <c r="B16" s="78" t="inlineStr">
        <is>
          <t xml:space="preserve">  🚨  ALERTES</t>
        </is>
      </c>
    </row>
    <row r="17" ht="20" customHeight="1">
      <c r="B17" s="79" t="inlineStr">
        <is>
          <t>Hosts Status Rouge</t>
        </is>
      </c>
      <c r="C17" s="50" t="n"/>
      <c r="D17" s="50" t="n"/>
      <c r="E17" s="50" t="n"/>
      <c r="F17" s="50" t="n"/>
      <c r="G17" s="17" t="n"/>
      <c r="H17" s="80">
        <f>COUNTIF(tHosts[Status],"Red")</f>
        <v/>
      </c>
      <c r="I17" s="50" t="n"/>
      <c r="J17" s="17" t="n"/>
    </row>
    <row r="18" ht="20" customHeight="1">
      <c r="B18" s="79" t="inlineStr">
        <is>
          <t>Hosts Status Jaune</t>
        </is>
      </c>
      <c r="C18" s="50" t="n"/>
      <c r="D18" s="50" t="n"/>
      <c r="E18" s="50" t="n"/>
      <c r="F18" s="50" t="n"/>
      <c r="G18" s="17" t="n"/>
      <c r="H18" s="81">
        <f>COUNTIF(tHosts[Status],"Yellow")</f>
        <v/>
      </c>
      <c r="I18" s="50" t="n"/>
      <c r="J18" s="17" t="n"/>
    </row>
    <row r="19" ht="20" customHeight="1">
      <c r="B19" s="79" t="inlineStr">
        <is>
          <t>Datastores Status Rouge</t>
        </is>
      </c>
      <c r="C19" s="50" t="n"/>
      <c r="D19" s="50" t="n"/>
      <c r="E19" s="50" t="n"/>
      <c r="F19" s="50" t="n"/>
      <c r="G19" s="17" t="n"/>
      <c r="H19" s="80">
        <f>COUNTIF(tDatastores[Status],"Red")</f>
        <v/>
      </c>
      <c r="I19" s="50" t="n"/>
      <c r="J19" s="17" t="n"/>
    </row>
    <row r="20" ht="20" customHeight="1">
      <c r="B20" s="79" t="inlineStr">
        <is>
          <t>VMs Status Rouge</t>
        </is>
      </c>
      <c r="C20" s="50" t="n"/>
      <c r="D20" s="50" t="n"/>
      <c r="E20" s="50" t="n"/>
      <c r="F20" s="50" t="n"/>
      <c r="G20" s="17" t="n"/>
      <c r="H20" s="80">
        <f>COUNTIF(tVMs[Status],"Red")</f>
        <v/>
      </c>
      <c r="I20" s="50" t="n"/>
      <c r="J20" s="17" t="n"/>
    </row>
    <row r="21" ht="20" customHeight="1">
      <c r="B21" s="79" t="inlineStr">
        <is>
          <t>VMs Status Jaune</t>
        </is>
      </c>
      <c r="C21" s="50" t="n"/>
      <c r="D21" s="50" t="n"/>
      <c r="E21" s="50" t="n"/>
      <c r="F21" s="50" t="n"/>
      <c r="G21" s="17" t="n"/>
      <c r="H21" s="81">
        <f>COUNTIF(tVMs[Status],"Yellow")</f>
        <v/>
      </c>
      <c r="I21" s="50" t="n"/>
      <c r="J21" s="17" t="n"/>
    </row>
    <row r="22" ht="20" customHeight="1">
      <c r="B22" s="79" t="inlineStr">
        <is>
          <t>VMs poweredOff</t>
        </is>
      </c>
      <c r="C22" s="50" t="n"/>
      <c r="D22" s="50" t="n"/>
      <c r="E22" s="50" t="n"/>
      <c r="F22" s="50" t="n"/>
      <c r="G22" s="17" t="n"/>
      <c r="H22" s="81">
        <f>COUNTIF(tVMs[State],"poweredOff")</f>
        <v/>
      </c>
      <c r="I22" s="50" t="n"/>
      <c r="J22" s="17" t="n"/>
    </row>
    <row r="24" ht="20" customHeight="1">
      <c r="B24" s="15" t="inlineStr">
        <is>
          <t xml:space="preserve">  📊  VISUALISATIONS</t>
        </is>
      </c>
    </row>
    <row r="45">
      <c r="B45" s="82" t="inlineStr">
        <is>
          <t>État</t>
        </is>
      </c>
      <c r="C45" s="82" t="inlineStr">
        <is>
          <t>Nb VMs</t>
        </is>
      </c>
    </row>
    <row r="46">
      <c r="B46" t="inlineStr">
        <is>
          <t>poweredOn</t>
        </is>
      </c>
      <c r="C46">
        <f>COUNTIF(tVMs[State],"poweredOn")</f>
        <v/>
      </c>
    </row>
    <row r="47">
      <c r="B47" t="inlineStr">
        <is>
          <t>poweredOff</t>
        </is>
      </c>
      <c r="C47">
        <f>COUNTIF(tVMs[State],"poweredOff")</f>
        <v/>
      </c>
    </row>
  </sheetData>
  <mergeCells count="47">
    <mergeCell ref="B7:C7"/>
    <mergeCell ref="N7:O7"/>
    <mergeCell ref="J14:K14"/>
    <mergeCell ref="B17:G17"/>
    <mergeCell ref="B16:U16"/>
    <mergeCell ref="R13:S13"/>
    <mergeCell ref="H17:J17"/>
    <mergeCell ref="J13:K13"/>
    <mergeCell ref="F7:G7"/>
    <mergeCell ref="B12:C12"/>
    <mergeCell ref="J9:K9"/>
    <mergeCell ref="B19:G19"/>
    <mergeCell ref="F12:G12"/>
    <mergeCell ref="R7:S7"/>
    <mergeCell ref="N12:O12"/>
    <mergeCell ref="H22:J22"/>
    <mergeCell ref="H19:J19"/>
    <mergeCell ref="B11:U11"/>
    <mergeCell ref="B14:C14"/>
    <mergeCell ref="B2:U2"/>
    <mergeCell ref="B8:C8"/>
    <mergeCell ref="N8:O8"/>
    <mergeCell ref="N14:O14"/>
    <mergeCell ref="F8:G8"/>
    <mergeCell ref="B13:C13"/>
    <mergeCell ref="R12:S12"/>
    <mergeCell ref="B20:G20"/>
    <mergeCell ref="H18:J18"/>
    <mergeCell ref="J7:K7"/>
    <mergeCell ref="F13:G13"/>
    <mergeCell ref="B9:C9"/>
    <mergeCell ref="N13:O13"/>
    <mergeCell ref="F9:G9"/>
    <mergeCell ref="H20:J20"/>
    <mergeCell ref="N9:O9"/>
    <mergeCell ref="J12:K12"/>
    <mergeCell ref="B22:G22"/>
    <mergeCell ref="B6:U6"/>
    <mergeCell ref="B24:U24"/>
    <mergeCell ref="F14:G14"/>
    <mergeCell ref="B18:G18"/>
    <mergeCell ref="R14:S14"/>
    <mergeCell ref="R9:S9"/>
    <mergeCell ref="B21:G21"/>
    <mergeCell ref="J8:K8"/>
    <mergeCell ref="H21:J21"/>
    <mergeCell ref="R8:S8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2026-03-24T09:40:41Z</dcterms:created>
  <dcterms:modified xmlns:dcterms="http://purl.org/dc/terms/" xmlns:xsi="http://www.w3.org/2001/XMLSchema-instance" xsi:type="dcterms:W3CDTF">2026-03-24T09:40:42Z</dcterms:modified>
</cp:coreProperties>
</file>