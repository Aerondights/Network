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🖥️ RAW_Hosts" sheetId="2" state="visible" r:id="rId2"/>
    <sheet xmlns:r="http://schemas.openxmlformats.org/officeDocument/2006/relationships" name="💾 RAW_Datastores" sheetId="3" state="visible" r:id="rId3"/>
    <sheet xmlns:r="http://schemas.openxmlformats.org/officeDocument/2006/relationships" name="⚡ RAW_VMs" sheetId="4" state="visible" r:id="rId4"/>
    <sheet xmlns:r="http://schemas.openxmlformats.org/officeDocument/2006/relationships" name="📊 Capacity_Hosts" sheetId="5" state="visible" r:id="rId5"/>
    <sheet xmlns:r="http://schemas.openxmlformats.org/officeDocument/2006/relationships" name="💽 Capacity_Storage" sheetId="6" state="visible" r:id="rId6"/>
    <sheet xmlns:r="http://schemas.openxmlformats.org/officeDocument/2006/relationships" name="🔮 Projections" sheetId="7" state="visible" r:id="rId7"/>
    <sheet xmlns:r="http://schemas.openxmlformats.org/officeDocument/2006/relationships" name="📈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607D8B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FFFFFF"/>
      <sz val="15"/>
    </font>
    <font>
      <name val="Arial"/>
      <i val="1"/>
      <color rgb="00607D8B"/>
      <sz val="9"/>
    </font>
    <font>
      <name val="Arial"/>
      <b val="1"/>
      <color rgb="00FFFFFF"/>
      <sz val="11"/>
    </font>
    <font>
      <name val="Arial"/>
      <b val="1"/>
      <color rgb="001565C0"/>
      <sz val="16"/>
    </font>
    <font>
      <name val="Arial"/>
      <i val="1"/>
      <color rgb="00607D8B"/>
      <sz val="8"/>
    </font>
    <font>
      <name val="Arial"/>
      <b val="1"/>
      <color rgb="000000FF"/>
      <sz val="11"/>
    </font>
    <font>
      <name val="Arial"/>
      <b val="1"/>
      <color rgb="00000000"/>
      <sz val="9"/>
    </font>
    <font>
      <name val="Arial"/>
      <b val="1"/>
      <color rgb="00FFFFFF"/>
      <sz val="22"/>
    </font>
    <font>
      <name val="Arial"/>
      <b val="1"/>
      <color rgb="0037474F"/>
      <sz val="10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00ACC1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9A825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C62828"/>
      </patternFill>
    </fill>
    <fill>
      <patternFill patternType="solid">
        <fgColor rgb="00FFEBEE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3" fontId="15" fillId="7" borderId="0" applyAlignment="1" pivotButton="0" quotePrefix="0" xfId="0">
      <alignment horizontal="center" vertical="center"/>
    </xf>
    <xf numFmtId="3" fontId="15" fillId="10" borderId="0" applyAlignment="1" pivotButton="0" quotePrefix="0" xfId="0">
      <alignment horizontal="center" vertical="center"/>
    </xf>
    <xf numFmtId="164" fontId="15" fillId="12" borderId="0" applyAlignment="1" pivotButton="0" quotePrefix="0" xfId="0">
      <alignment horizontal="center" vertical="center"/>
    </xf>
    <xf numFmtId="164" fontId="15" fillId="14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3" fontId="15" fillId="14" borderId="0" applyAlignment="1" pivotButton="0" quotePrefix="0" xfId="0">
      <alignment horizontal="center" vertical="center"/>
    </xf>
    <xf numFmtId="164" fontId="15" fillId="16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center"/>
    </xf>
    <xf numFmtId="164" fontId="17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0" fillId="10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Usage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Capacity_Hosts'!$A$11:$A$17</f>
            </numRef>
          </cat>
          <val>
            <numRef>
              <f>'📊 Capacity_Hosts'!$F$11:$F$17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Usage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Usage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Capacity_Hosts'!$A$11:$A$17</f>
            </numRef>
          </cat>
          <val>
            <numRef>
              <f>'📊 Capacity_Hosts'!$J$11:$J$17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Usage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vs Utilisé vs Provisionné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Capacity_Storage'!$A$11:$A$18</f>
            </numRef>
          </cat>
          <val>
            <numRef>
              <f>'💽 Capacity_Storage'!$D$11:$D$18</f>
            </numRef>
          </val>
        </ser>
        <ser>
          <idx val="1"/>
          <order val="1"/>
          <tx>
            <strRef>
              <f>'💽 Capacity_Storage'!E10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Capacity_Storage'!$A$11:$A$18</f>
            </numRef>
          </cat>
          <val>
            <numRef>
              <f>'💽 Capacity_Storage'!$E$11:$E$18</f>
            </numRef>
          </val>
        </ser>
        <ser>
          <idx val="2"/>
          <order val="2"/>
          <tx>
            <strRef>
              <f>'💽 Capacity_Storage'!I10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Capacity_Storage'!$A$11:$A$18</f>
            </numRef>
          </cat>
          <val>
            <numRef>
              <f>'💽 Capacity_Storage'!$I$11:$I$18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Datastore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Capacité par Datastore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Capacity_Storage'!$A$11:$A$18</f>
            </numRef>
          </cat>
          <val>
            <numRef>
              <f>'💽 Capacity_Storage'!$D$11:$D$18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VMs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CPU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CPU Usage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RAM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RAM Usage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Stockage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Storage Usage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Usage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Capacity_Hosts'!$A$11:$A$17</f>
            </numRef>
          </cat>
          <val>
            <numRef>
              <f>'📊 Capacity_Hosts'!$F$11:$F$17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Usage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Capacity_Hosts'!$A$11:$A$17</f>
            </numRef>
          </cat>
          <val>
            <numRef>
              <f>'📊 Capacity_Hosts'!$J$11:$J$17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Stockage par DS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Capacity_Storage'!$A$11:$A$18</f>
            </numRef>
          </cat>
          <val>
            <numRef>
              <f>'💽 Capacity_Storage'!$D$11:$D$18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VMs – 12 mois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30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30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50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23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45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45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  <col width="25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0" customHeight="1">
      <c r="A2" s="1" t="n"/>
      <c r="B2" s="2" t="inlineStr">
        <is>
          <t>VMware vCenter 8 – Capacity Planning Template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8" customHeight="1">
      <c r="B4" s="4" t="inlineStr">
        <is>
          <t>Version 1.0  |  Généré le 23/03/2026  |  Compatible vCenter 8.x</t>
        </is>
      </c>
    </row>
    <row r="6" ht="13" customHeight="1">
      <c r="B6" s="5" t="inlineStr">
        <is>
          <t>🗂️  STRUCTURE DU CLASSEUR</t>
        </is>
      </c>
    </row>
    <row r="7" ht="8" customHeight="1">
      <c r="B7" t="inlineStr"/>
    </row>
    <row r="8" ht="20" customHeight="1">
      <c r="B8" s="6" t="inlineStr">
        <is>
          <t>Onglet</t>
        </is>
      </c>
      <c r="C8" s="6" t="inlineStr">
        <is>
          <t>Description</t>
        </is>
      </c>
      <c r="D8" s="6" t="inlineStr">
        <is>
          <t>Source</t>
        </is>
      </c>
    </row>
    <row r="9" ht="18" customHeight="1">
      <c r="B9" s="7" t="inlineStr">
        <is>
          <t>📋 Instructions</t>
        </is>
      </c>
      <c r="C9" s="8" t="inlineStr">
        <is>
          <t>Ce guide d'utilisation du template</t>
        </is>
      </c>
      <c r="D9" s="8" t="inlineStr">
        <is>
          <t>—</t>
        </is>
      </c>
    </row>
    <row r="10" ht="18" customHeight="1">
      <c r="B10" s="9" t="inlineStr">
        <is>
          <t>🖥️ RAW_Hosts</t>
        </is>
      </c>
      <c r="C10" s="10" t="inlineStr">
        <is>
          <t>Coller ici l'export vCenter des ESXi hosts</t>
        </is>
      </c>
      <c r="D10" s="10" t="inlineStr">
        <is>
          <t>vCenter &gt; Hosts &amp; Clusters &gt; Export CSV</t>
        </is>
      </c>
    </row>
    <row r="11" ht="18" customHeight="1">
      <c r="B11" s="7" t="inlineStr">
        <is>
          <t>💾 RAW_Datastores</t>
        </is>
      </c>
      <c r="C11" s="8" t="inlineStr">
        <is>
          <t>Coller ici l'export vCenter des datastores</t>
        </is>
      </c>
      <c r="D11" s="8" t="inlineStr">
        <is>
          <t>vCenter &gt; Storage &gt; Export CSV</t>
        </is>
      </c>
    </row>
    <row r="12" ht="18" customHeight="1">
      <c r="B12" s="9" t="inlineStr">
        <is>
          <t>⚡ RAW_VMs</t>
        </is>
      </c>
      <c r="C12" s="10" t="inlineStr">
        <is>
          <t>Coller ici l'export vCenter des VMs</t>
        </is>
      </c>
      <c r="D12" s="10" t="inlineStr">
        <is>
          <t>vCenter &gt; VMs &gt; Export CSV</t>
        </is>
      </c>
    </row>
    <row r="13" ht="18" customHeight="1">
      <c r="B13" s="7" t="inlineStr">
        <is>
          <t>📊 Capacity_Hosts</t>
        </is>
      </c>
      <c r="C13" s="8" t="inlineStr">
        <is>
          <t>Analyse automatique CPU/RAM par cluster</t>
        </is>
      </c>
      <c r="D13" s="8" t="inlineStr">
        <is>
          <t>Alimenté par RAW_Hosts</t>
        </is>
      </c>
    </row>
    <row r="14" ht="18" customHeight="1">
      <c r="B14" s="9" t="inlineStr">
        <is>
          <t>💽 Capacity_Storage</t>
        </is>
      </c>
      <c r="C14" s="10" t="inlineStr">
        <is>
          <t>Analyse automatique stockage par datastore</t>
        </is>
      </c>
      <c r="D14" s="10" t="inlineStr">
        <is>
          <t>Alimenté par RAW_Datastores</t>
        </is>
      </c>
    </row>
    <row r="15" ht="18" customHeight="1">
      <c r="B15" s="7" t="inlineStr">
        <is>
          <t>🔮 Projections</t>
        </is>
      </c>
      <c r="C15" s="8" t="inlineStr">
        <is>
          <t>Projections de croissance sur 12 mois</t>
        </is>
      </c>
      <c r="D15" s="8" t="inlineStr">
        <is>
          <t>Paramètres modifiables</t>
        </is>
      </c>
    </row>
    <row r="16" ht="18" customHeight="1">
      <c r="B16" s="9" t="inlineStr">
        <is>
          <t>📈 Dashboard</t>
        </is>
      </c>
      <c r="C16" s="10" t="inlineStr">
        <is>
          <t>Tableaux de bord visuels et KPIs</t>
        </is>
      </c>
      <c r="D16" s="10" t="inlineStr">
        <is>
          <t>Vue consolidée</t>
        </is>
      </c>
    </row>
    <row r="18" ht="20" customHeight="1">
      <c r="B18" s="5" t="inlineStr">
        <is>
          <t>📥  IMPORTS VCENTER 8 – CHAMPS REQUIS</t>
        </is>
      </c>
    </row>
    <row r="19" ht="18" customHeight="1">
      <c r="B19" s="11" t="inlineStr">
        <is>
          <t>🖥️ HOSTS</t>
        </is>
      </c>
    </row>
    <row r="20" ht="16" customHeight="1">
      <c r="C20" s="12" t="inlineStr">
        <is>
          <t>• Host</t>
        </is>
      </c>
    </row>
    <row r="21" ht="16" customHeight="1">
      <c r="C21" s="12" t="inlineStr">
        <is>
          <t>• Cluster</t>
        </is>
      </c>
    </row>
    <row r="22" ht="16" customHeight="1">
      <c r="C22" s="12" t="inlineStr">
        <is>
          <t>• CPU Sockets</t>
        </is>
      </c>
    </row>
    <row r="23" ht="16" customHeight="1">
      <c r="C23" s="12" t="inlineStr">
        <is>
          <t>• CPU Cores per Socket</t>
        </is>
      </c>
    </row>
    <row r="24" ht="16" customHeight="1">
      <c r="C24" s="12" t="inlineStr">
        <is>
          <t>• CPU Usage MHz</t>
        </is>
      </c>
    </row>
    <row r="25" ht="16" customHeight="1">
      <c r="C25" s="12" t="inlineStr">
        <is>
          <t>• CPU Total MHz</t>
        </is>
      </c>
    </row>
    <row r="26" ht="16" customHeight="1">
      <c r="C26" s="12" t="inlineStr">
        <is>
          <t>• Memory Usage MB</t>
        </is>
      </c>
    </row>
    <row r="27" ht="16" customHeight="1">
      <c r="C27" s="12" t="inlineStr">
        <is>
          <t>• Memory Total MB</t>
        </is>
      </c>
    </row>
    <row r="28" ht="16" customHeight="1">
      <c r="C28" s="12" t="inlineStr">
        <is>
          <t>• State</t>
        </is>
      </c>
    </row>
    <row r="29" ht="16" customHeight="1">
      <c r="C29" s="12" t="inlineStr">
        <is>
          <t>• Version</t>
        </is>
      </c>
    </row>
    <row r="30" ht="18" customHeight="1">
      <c r="B30" s="11" t="inlineStr">
        <is>
          <t>💾 DATASTORES</t>
        </is>
      </c>
    </row>
    <row r="31" ht="16" customHeight="1">
      <c r="C31" s="12" t="inlineStr">
        <is>
          <t>• Datastore</t>
        </is>
      </c>
    </row>
    <row r="32" ht="16" customHeight="1">
      <c r="C32" s="12" t="inlineStr">
        <is>
          <t>• Type (VMFS/NFS/vSAN)</t>
        </is>
      </c>
    </row>
    <row r="33" ht="16" customHeight="1">
      <c r="C33" s="12" t="inlineStr">
        <is>
          <t>• Capacity GB</t>
        </is>
      </c>
    </row>
    <row r="34" ht="16" customHeight="1">
      <c r="C34" s="12" t="inlineStr">
        <is>
          <t>• Free Space GB</t>
        </is>
      </c>
    </row>
    <row r="35" ht="16" customHeight="1">
      <c r="C35" s="12" t="inlineStr">
        <is>
          <t>• Provisioned GB</t>
        </is>
      </c>
    </row>
    <row r="36" ht="16" customHeight="1">
      <c r="C36" s="12" t="inlineStr">
        <is>
          <t>• Accessible</t>
        </is>
      </c>
    </row>
    <row r="37" ht="16" customHeight="1">
      <c r="C37" s="12" t="inlineStr">
        <is>
          <t>• Hosts</t>
        </is>
      </c>
    </row>
    <row r="38" ht="18" customHeight="1">
      <c r="B38" s="11" t="inlineStr">
        <is>
          <t>⚡ VMs</t>
        </is>
      </c>
    </row>
    <row r="39" ht="16" customHeight="1">
      <c r="C39" s="12" t="inlineStr">
        <is>
          <t>• VM Name</t>
        </is>
      </c>
    </row>
    <row r="40" ht="16" customHeight="1">
      <c r="C40" s="12" t="inlineStr">
        <is>
          <t>• Power State</t>
        </is>
      </c>
    </row>
    <row r="41" ht="16" customHeight="1">
      <c r="C41" s="12" t="inlineStr">
        <is>
          <t>• Host</t>
        </is>
      </c>
    </row>
    <row r="42" ht="16" customHeight="1">
      <c r="C42" s="12" t="inlineStr">
        <is>
          <t>• Cluster</t>
        </is>
      </c>
    </row>
    <row r="43" ht="16" customHeight="1">
      <c r="C43" s="12" t="inlineStr">
        <is>
          <t>• CPUs</t>
        </is>
      </c>
    </row>
    <row r="44" ht="16" customHeight="1">
      <c r="C44" s="12" t="inlineStr">
        <is>
          <t>• Memory MB</t>
        </is>
      </c>
    </row>
    <row r="45" ht="16" customHeight="1">
      <c r="C45" s="12" t="inlineStr">
        <is>
          <t>• Provisioned Storage GB</t>
        </is>
      </c>
    </row>
    <row r="46" ht="16" customHeight="1">
      <c r="C46" s="12" t="inlineStr">
        <is>
          <t>• Used Storage GB</t>
        </is>
      </c>
    </row>
    <row r="47" ht="16" customHeight="1">
      <c r="C47" s="12" t="inlineStr">
        <is>
          <t>• Guest OS</t>
        </is>
      </c>
    </row>
    <row r="48" ht="16" customHeight="1">
      <c r="C48" s="12" t="inlineStr">
        <is>
          <t>• VMware Tools</t>
        </is>
      </c>
    </row>
  </sheetData>
  <mergeCells count="6">
    <mergeCell ref="B19:D19"/>
    <mergeCell ref="B18:D18"/>
    <mergeCell ref="B30:D30"/>
    <mergeCell ref="B2:K2"/>
    <mergeCell ref="B6:D6"/>
    <mergeCell ref="B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O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  <col width="12" customWidth="1" min="8" max="8"/>
    <col width="15" customWidth="1" min="9" max="9"/>
    <col width="15" customWidth="1" min="10" max="10"/>
    <col width="12" customWidth="1" min="11" max="11"/>
    <col width="11" customWidth="1" min="12" max="12"/>
    <col width="12" customWidth="1" min="13" max="13"/>
    <col width="16" customWidth="1" min="14" max="14"/>
    <col width="25" customWidth="1" min="15" max="15"/>
  </cols>
  <sheetData>
    <row r="1" ht="35" customHeight="1">
      <c r="A1" s="13" t="inlineStr">
        <is>
          <t>🖥️  DONNÉES HOSTS ESXI – Export vCenter 8</t>
        </is>
      </c>
    </row>
    <row r="2" ht="22" customHeight="1">
      <c r="A2" s="14" t="inlineStr">
        <is>
          <t>Host Name</t>
        </is>
      </c>
      <c r="B2" s="14" t="inlineStr">
        <is>
          <t>Cluster</t>
        </is>
      </c>
      <c r="C2" s="14" t="inlineStr">
        <is>
          <t>CPU Sockets</t>
        </is>
      </c>
      <c r="D2" s="14" t="inlineStr">
        <is>
          <t>Cores/Socket</t>
        </is>
      </c>
      <c r="E2" s="14" t="inlineStr">
        <is>
          <t>Total vCPUs</t>
        </is>
      </c>
      <c r="F2" s="14" t="inlineStr">
        <is>
          <t>CPU Usage (MHz)</t>
        </is>
      </c>
      <c r="G2" s="14" t="inlineStr">
        <is>
          <t>CPU Total (MHz)</t>
        </is>
      </c>
      <c r="H2" s="14" t="inlineStr">
        <is>
          <t>CPU Usage %</t>
        </is>
      </c>
      <c r="I2" s="14" t="inlineStr">
        <is>
          <t>Mem Usage (MB)</t>
        </is>
      </c>
      <c r="J2" s="14" t="inlineStr">
        <is>
          <t>Mem Total (MB)</t>
        </is>
      </c>
      <c r="K2" s="14" t="inlineStr">
        <is>
          <t>Mem Usage %</t>
        </is>
      </c>
      <c r="L2" s="14" t="inlineStr">
        <is>
          <t>VMs Count</t>
        </is>
      </c>
      <c r="M2" s="14" t="inlineStr">
        <is>
          <t>State</t>
        </is>
      </c>
      <c r="N2" s="14" t="inlineStr">
        <is>
          <t>ESXi Version</t>
        </is>
      </c>
      <c r="O2" s="14" t="inlineStr">
        <is>
          <t>Notes</t>
        </is>
      </c>
    </row>
    <row r="3" ht="18" customHeight="1">
      <c r="A3" s="15" t="inlineStr">
        <is>
          <t>esxi-01.lab.local</t>
        </is>
      </c>
      <c r="B3" s="15" t="inlineStr">
        <is>
          <t>PROD-Cluster-01</t>
        </is>
      </c>
      <c r="C3" s="15" t="n">
        <v>2</v>
      </c>
      <c r="D3" s="15" t="n">
        <v>20</v>
      </c>
      <c r="E3" s="15">
        <f>C3*D3</f>
        <v/>
      </c>
      <c r="F3" s="16" t="n">
        <v>18500</v>
      </c>
      <c r="G3" s="16" t="n">
        <v>80000</v>
      </c>
      <c r="H3" s="17">
        <f>IFERROR(F3/G3,0)</f>
        <v/>
      </c>
      <c r="I3" s="16" t="n">
        <v>245760</v>
      </c>
      <c r="J3" s="16" t="n">
        <v>393216</v>
      </c>
      <c r="K3" s="17">
        <f>IFERROR(I3/J3,0)</f>
        <v/>
      </c>
      <c r="L3" s="15" t="n">
        <v>12</v>
      </c>
      <c r="M3" s="15" t="inlineStr">
        <is>
          <t>Connected</t>
        </is>
      </c>
      <c r="N3" s="15" t="inlineStr">
        <is>
          <t>8.0.2</t>
        </is>
      </c>
    </row>
    <row r="4" ht="18" customHeight="1">
      <c r="A4" s="18" t="inlineStr">
        <is>
          <t>esxi-02.lab.local</t>
        </is>
      </c>
      <c r="B4" s="18" t="inlineStr">
        <is>
          <t>PROD-Cluster-01</t>
        </is>
      </c>
      <c r="C4" s="18" t="n">
        <v>2</v>
      </c>
      <c r="D4" s="18" t="n">
        <v>20</v>
      </c>
      <c r="E4" s="18">
        <f>C4*D4</f>
        <v/>
      </c>
      <c r="F4" s="19" t="n">
        <v>22000</v>
      </c>
      <c r="G4" s="19" t="n">
        <v>80000</v>
      </c>
      <c r="H4" s="20">
        <f>IFERROR(F4/G4,0)</f>
        <v/>
      </c>
      <c r="I4" s="19" t="n">
        <v>310000</v>
      </c>
      <c r="J4" s="19" t="n">
        <v>393216</v>
      </c>
      <c r="K4" s="20">
        <f>IFERROR(I4/J4,0)</f>
        <v/>
      </c>
      <c r="L4" s="18" t="n">
        <v>15</v>
      </c>
      <c r="M4" s="18" t="inlineStr">
        <is>
          <t>Connected</t>
        </is>
      </c>
      <c r="N4" s="18" t="inlineStr">
        <is>
          <t>8.0.2</t>
        </is>
      </c>
    </row>
    <row r="5" ht="18" customHeight="1">
      <c r="A5" s="15" t="inlineStr">
        <is>
          <t>esxi-03.lab.local</t>
        </is>
      </c>
      <c r="B5" s="15" t="inlineStr">
        <is>
          <t>PROD-Cluster-01</t>
        </is>
      </c>
      <c r="C5" s="15" t="n">
        <v>2</v>
      </c>
      <c r="D5" s="15" t="n">
        <v>20</v>
      </c>
      <c r="E5" s="15">
        <f>C5*D5</f>
        <v/>
      </c>
      <c r="F5" s="16" t="n">
        <v>15200</v>
      </c>
      <c r="G5" s="16" t="n">
        <v>80000</v>
      </c>
      <c r="H5" s="17">
        <f>IFERROR(F5/G5,0)</f>
        <v/>
      </c>
      <c r="I5" s="16" t="n">
        <v>200000</v>
      </c>
      <c r="J5" s="16" t="n">
        <v>393216</v>
      </c>
      <c r="K5" s="17">
        <f>IFERROR(I5/J5,0)</f>
        <v/>
      </c>
      <c r="L5" s="15" t="n">
        <v>10</v>
      </c>
      <c r="M5" s="15" t="inlineStr">
        <is>
          <t>Connected</t>
        </is>
      </c>
      <c r="N5" s="15" t="inlineStr">
        <is>
          <t>8.0.2</t>
        </is>
      </c>
    </row>
    <row r="6" ht="18" customHeight="1">
      <c r="A6" s="18" t="inlineStr">
        <is>
          <t>esxi-04.lab.local</t>
        </is>
      </c>
      <c r="B6" s="18" t="inlineStr">
        <is>
          <t>PROD-Cluster-02</t>
        </is>
      </c>
      <c r="C6" s="18" t="n">
        <v>2</v>
      </c>
      <c r="D6" s="18" t="n">
        <v>16</v>
      </c>
      <c r="E6" s="18">
        <f>C6*D6</f>
        <v/>
      </c>
      <c r="F6" s="19" t="n">
        <v>32000</v>
      </c>
      <c r="G6" s="19" t="n">
        <v>64000</v>
      </c>
      <c r="H6" s="20">
        <f>IFERROR(F6/G6,0)</f>
        <v/>
      </c>
      <c r="I6" s="19" t="n">
        <v>180000</v>
      </c>
      <c r="J6" s="19" t="n">
        <v>262144</v>
      </c>
      <c r="K6" s="20">
        <f>IFERROR(I6/J6,0)</f>
        <v/>
      </c>
      <c r="L6" s="18" t="n">
        <v>8</v>
      </c>
      <c r="M6" s="18" t="inlineStr">
        <is>
          <t>Connected</t>
        </is>
      </c>
      <c r="N6" s="18" t="inlineStr">
        <is>
          <t>8.0.1</t>
        </is>
      </c>
    </row>
    <row r="7" ht="18" customHeight="1">
      <c r="A7" s="15" t="inlineStr">
        <is>
          <t>esxi-05.lab.local</t>
        </is>
      </c>
      <c r="B7" s="15" t="inlineStr">
        <is>
          <t>PROD-Cluster-02</t>
        </is>
      </c>
      <c r="C7" s="15" t="n">
        <v>2</v>
      </c>
      <c r="D7" s="15" t="n">
        <v>16</v>
      </c>
      <c r="E7" s="15">
        <f>C7*D7</f>
        <v/>
      </c>
      <c r="F7" s="16" t="n">
        <v>28000</v>
      </c>
      <c r="G7" s="16" t="n">
        <v>64000</v>
      </c>
      <c r="H7" s="17">
        <f>IFERROR(F7/G7,0)</f>
        <v/>
      </c>
      <c r="I7" s="16" t="n">
        <v>195000</v>
      </c>
      <c r="J7" s="16" t="n">
        <v>262144</v>
      </c>
      <c r="K7" s="17">
        <f>IFERROR(I7/J7,0)</f>
        <v/>
      </c>
      <c r="L7" s="15" t="n">
        <v>9</v>
      </c>
      <c r="M7" s="15" t="inlineStr">
        <is>
          <t>Connected</t>
        </is>
      </c>
      <c r="N7" s="15" t="inlineStr">
        <is>
          <t>8.0.1</t>
        </is>
      </c>
    </row>
    <row r="8" ht="18" customHeight="1">
      <c r="A8" s="18" t="inlineStr">
        <is>
          <t>esxi-06.lab.local</t>
        </is>
      </c>
      <c r="B8" s="18" t="inlineStr">
        <is>
          <t>DEV-Cluster-01</t>
        </is>
      </c>
      <c r="C8" s="18" t="n">
        <v>2</v>
      </c>
      <c r="D8" s="18" t="n">
        <v>12</v>
      </c>
      <c r="E8" s="18">
        <f>C8*D8</f>
        <v/>
      </c>
      <c r="F8" s="19" t="n">
        <v>8000</v>
      </c>
      <c r="G8" s="19" t="n">
        <v>48000</v>
      </c>
      <c r="H8" s="20">
        <f>IFERROR(F8/G8,0)</f>
        <v/>
      </c>
      <c r="I8" s="19" t="n">
        <v>80000</v>
      </c>
      <c r="J8" s="19" t="n">
        <v>196608</v>
      </c>
      <c r="K8" s="20">
        <f>IFERROR(I8/J8,0)</f>
        <v/>
      </c>
      <c r="L8" s="18" t="n">
        <v>6</v>
      </c>
      <c r="M8" s="18" t="inlineStr">
        <is>
          <t>Connected</t>
        </is>
      </c>
      <c r="N8" s="18" t="inlineStr">
        <is>
          <t>8.0.2</t>
        </is>
      </c>
    </row>
    <row r="9" ht="18" customHeight="1">
      <c r="A9" s="15" t="inlineStr">
        <is>
          <t>esxi-07.lab.local</t>
        </is>
      </c>
      <c r="B9" s="15" t="inlineStr">
        <is>
          <t>DEV-Cluster-01</t>
        </is>
      </c>
      <c r="C9" s="15" t="n">
        <v>2</v>
      </c>
      <c r="D9" s="15" t="n">
        <v>12</v>
      </c>
      <c r="E9" s="15">
        <f>C9*D9</f>
        <v/>
      </c>
      <c r="F9" s="16" t="n">
        <v>5000</v>
      </c>
      <c r="G9" s="16" t="n">
        <v>48000</v>
      </c>
      <c r="H9" s="17">
        <f>IFERROR(F9/G9,0)</f>
        <v/>
      </c>
      <c r="I9" s="16" t="n">
        <v>60000</v>
      </c>
      <c r="J9" s="16" t="n">
        <v>196608</v>
      </c>
      <c r="K9" s="17">
        <f>IFERROR(I9/J9,0)</f>
        <v/>
      </c>
      <c r="L9" s="15" t="n">
        <v>4</v>
      </c>
      <c r="M9" s="15" t="inlineStr">
        <is>
          <t>Connected</t>
        </is>
      </c>
      <c r="N9" s="15" t="inlineStr">
        <is>
          <t>8.0.2</t>
        </is>
      </c>
    </row>
  </sheetData>
  <mergeCells count="1">
    <mergeCell ref="A1:O1"/>
  </mergeCells>
  <conditionalFormatting sqref="H3:H9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K3:K9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CC1"/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4" customWidth="1" min="4" max="4"/>
    <col width="15" customWidth="1" min="5" max="5"/>
    <col width="13" customWidth="1" min="6" max="6"/>
    <col width="10" customWidth="1" min="7" max="7"/>
    <col width="17" customWidth="1" min="8" max="8"/>
    <col width="14" customWidth="1" min="9" max="9"/>
    <col width="11" customWidth="1" min="10" max="10"/>
    <col width="8" customWidth="1" min="11" max="11"/>
    <col width="25" customWidth="1" min="12" max="12"/>
  </cols>
  <sheetData>
    <row r="1" ht="35" customHeight="1">
      <c r="A1" s="13" t="inlineStr">
        <is>
          <t>💾  DONNÉES DATASTORES – Export vCenter 8</t>
        </is>
      </c>
    </row>
    <row r="2" ht="22" customHeight="1">
      <c r="A2" s="21" t="inlineStr">
        <is>
          <t>Datastore Name</t>
        </is>
      </c>
      <c r="B2" s="21" t="inlineStr">
        <is>
          <t>Type</t>
        </is>
      </c>
      <c r="C2" s="21" t="inlineStr">
        <is>
          <t>Cluster/Host</t>
        </is>
      </c>
      <c r="D2" s="21" t="inlineStr">
        <is>
          <t>Capacity (GB)</t>
        </is>
      </c>
      <c r="E2" s="21" t="inlineStr">
        <is>
          <t>Free Space (GB)</t>
        </is>
      </c>
      <c r="F2" s="21" t="inlineStr">
        <is>
          <t>Used (GB)</t>
        </is>
      </c>
      <c r="G2" s="21" t="inlineStr">
        <is>
          <t>Usage %</t>
        </is>
      </c>
      <c r="H2" s="21" t="inlineStr">
        <is>
          <t>Provisioned (GB)</t>
        </is>
      </c>
      <c r="I2" s="21" t="inlineStr">
        <is>
          <t>Over-Commit %</t>
        </is>
      </c>
      <c r="J2" s="21" t="inlineStr">
        <is>
          <t>Accessible</t>
        </is>
      </c>
      <c r="K2" s="21" t="inlineStr">
        <is>
          <t>VMs</t>
        </is>
      </c>
      <c r="L2" s="21" t="inlineStr">
        <is>
          <t>Notes</t>
        </is>
      </c>
    </row>
    <row r="3" ht="18" customHeight="1">
      <c r="A3" s="15" t="inlineStr">
        <is>
          <t>PROD-DS-SAN-01</t>
        </is>
      </c>
      <c r="B3" s="15" t="inlineStr">
        <is>
          <t>VMFS</t>
        </is>
      </c>
      <c r="C3" s="15" t="inlineStr">
        <is>
          <t>PROD-Cluster-01</t>
        </is>
      </c>
      <c r="D3" s="16" t="n">
        <v>10240</v>
      </c>
      <c r="E3" s="16" t="n">
        <v>2800</v>
      </c>
      <c r="F3" s="16">
        <f>D3-E3</f>
        <v/>
      </c>
      <c r="G3" s="17">
        <f>IFERROR(F3/D3,0)</f>
        <v/>
      </c>
      <c r="H3" s="16" t="n">
        <v>12500</v>
      </c>
      <c r="I3" s="17">
        <f>IFERROR(H3/D3,0)</f>
        <v/>
      </c>
      <c r="J3" s="15" t="inlineStr">
        <is>
          <t>Yes</t>
        </is>
      </c>
      <c r="K3" s="15" t="n">
        <v>18</v>
      </c>
    </row>
    <row r="4" ht="18" customHeight="1">
      <c r="A4" s="18" t="inlineStr">
        <is>
          <t>PROD-DS-SAN-02</t>
        </is>
      </c>
      <c r="B4" s="18" t="inlineStr">
        <is>
          <t>VMFS</t>
        </is>
      </c>
      <c r="C4" s="18" t="inlineStr">
        <is>
          <t>PROD-Cluster-01</t>
        </is>
      </c>
      <c r="D4" s="19" t="n">
        <v>10240</v>
      </c>
      <c r="E4" s="19" t="n">
        <v>1200</v>
      </c>
      <c r="F4" s="19">
        <f>D4-E4</f>
        <v/>
      </c>
      <c r="G4" s="20">
        <f>IFERROR(F4/D4,0)</f>
        <v/>
      </c>
      <c r="H4" s="19" t="n">
        <v>14000</v>
      </c>
      <c r="I4" s="20">
        <f>IFERROR(H4/D4,0)</f>
        <v/>
      </c>
      <c r="J4" s="18" t="inlineStr">
        <is>
          <t>Yes</t>
        </is>
      </c>
      <c r="K4" s="18" t="n">
        <v>22</v>
      </c>
    </row>
    <row r="5" ht="18" customHeight="1">
      <c r="A5" s="15" t="inlineStr">
        <is>
          <t>PROD-DS-NFS-01</t>
        </is>
      </c>
      <c r="B5" s="15" t="inlineStr">
        <is>
          <t>NFS</t>
        </is>
      </c>
      <c r="C5" s="15" t="inlineStr">
        <is>
          <t>PROD-Cluster-01</t>
        </is>
      </c>
      <c r="D5" s="16" t="n">
        <v>5120</v>
      </c>
      <c r="E5" s="16" t="n">
        <v>1800</v>
      </c>
      <c r="F5" s="16">
        <f>D5-E5</f>
        <v/>
      </c>
      <c r="G5" s="17">
        <f>IFERROR(F5/D5,0)</f>
        <v/>
      </c>
      <c r="H5" s="16" t="n">
        <v>4500</v>
      </c>
      <c r="I5" s="17">
        <f>IFERROR(H5/D5,0)</f>
        <v/>
      </c>
      <c r="J5" s="15" t="inlineStr">
        <is>
          <t>Yes</t>
        </is>
      </c>
      <c r="K5" s="15" t="n">
        <v>8</v>
      </c>
    </row>
    <row r="6" ht="18" customHeight="1">
      <c r="A6" s="18" t="inlineStr">
        <is>
          <t>PROD-DS-SAN-03</t>
        </is>
      </c>
      <c r="B6" s="18" t="inlineStr">
        <is>
          <t>VMFS</t>
        </is>
      </c>
      <c r="C6" s="18" t="inlineStr">
        <is>
          <t>PROD-Cluster-02</t>
        </is>
      </c>
      <c r="D6" s="19" t="n">
        <v>8192</v>
      </c>
      <c r="E6" s="19" t="n">
        <v>3500</v>
      </c>
      <c r="F6" s="19">
        <f>D6-E6</f>
        <v/>
      </c>
      <c r="G6" s="20">
        <f>IFERROR(F6/D6,0)</f>
        <v/>
      </c>
      <c r="H6" s="19" t="n">
        <v>7000</v>
      </c>
      <c r="I6" s="20">
        <f>IFERROR(H6/D6,0)</f>
        <v/>
      </c>
      <c r="J6" s="18" t="inlineStr">
        <is>
          <t>Yes</t>
        </is>
      </c>
      <c r="K6" s="18" t="n">
        <v>14</v>
      </c>
    </row>
    <row r="7" ht="18" customHeight="1">
      <c r="A7" s="15" t="inlineStr">
        <is>
          <t>PROD-DS-SAN-04</t>
        </is>
      </c>
      <c r="B7" s="15" t="inlineStr">
        <is>
          <t>VMFS</t>
        </is>
      </c>
      <c r="C7" s="15" t="inlineStr">
        <is>
          <t>PROD-Cluster-02</t>
        </is>
      </c>
      <c r="D7" s="16" t="n">
        <v>8192</v>
      </c>
      <c r="E7" s="16" t="n">
        <v>500</v>
      </c>
      <c r="F7" s="16">
        <f>D7-E7</f>
        <v/>
      </c>
      <c r="G7" s="17">
        <f>IFERROR(F7/D7,0)</f>
        <v/>
      </c>
      <c r="H7" s="16" t="n">
        <v>10000</v>
      </c>
      <c r="I7" s="17">
        <f>IFERROR(H7/D7,0)</f>
        <v/>
      </c>
      <c r="J7" s="15" t="inlineStr">
        <is>
          <t>Yes</t>
        </is>
      </c>
      <c r="K7" s="15" t="n">
        <v>16</v>
      </c>
    </row>
    <row r="8" ht="18" customHeight="1">
      <c r="A8" s="18" t="inlineStr">
        <is>
          <t>DEV-DS-NFS-01</t>
        </is>
      </c>
      <c r="B8" s="18" t="inlineStr">
        <is>
          <t>NFS</t>
        </is>
      </c>
      <c r="C8" s="18" t="inlineStr">
        <is>
          <t>DEV-Cluster-01</t>
        </is>
      </c>
      <c r="D8" s="19" t="n">
        <v>4096</v>
      </c>
      <c r="E8" s="19" t="n">
        <v>2100</v>
      </c>
      <c r="F8" s="19">
        <f>D8-E8</f>
        <v/>
      </c>
      <c r="G8" s="20">
        <f>IFERROR(F8/D8,0)</f>
        <v/>
      </c>
      <c r="H8" s="19" t="n">
        <v>2800</v>
      </c>
      <c r="I8" s="20">
        <f>IFERROR(H8/D8,0)</f>
        <v/>
      </c>
      <c r="J8" s="18" t="inlineStr">
        <is>
          <t>Yes</t>
        </is>
      </c>
      <c r="K8" s="18" t="n">
        <v>7</v>
      </c>
    </row>
    <row r="9" ht="18" customHeight="1">
      <c r="A9" s="15" t="inlineStr">
        <is>
          <t>DEV-DS-SAN-01</t>
        </is>
      </c>
      <c r="B9" s="15" t="inlineStr">
        <is>
          <t>VMFS</t>
        </is>
      </c>
      <c r="C9" s="15" t="inlineStr">
        <is>
          <t>DEV-Cluster-01</t>
        </is>
      </c>
      <c r="D9" s="16" t="n">
        <v>2048</v>
      </c>
      <c r="E9" s="16" t="n">
        <v>800</v>
      </c>
      <c r="F9" s="16">
        <f>D9-E9</f>
        <v/>
      </c>
      <c r="G9" s="17">
        <f>IFERROR(F9/D9,0)</f>
        <v/>
      </c>
      <c r="H9" s="16" t="n">
        <v>1800</v>
      </c>
      <c r="I9" s="17">
        <f>IFERROR(H9/D9,0)</f>
        <v/>
      </c>
      <c r="J9" s="15" t="inlineStr">
        <is>
          <t>Yes</t>
        </is>
      </c>
      <c r="K9" s="15" t="n">
        <v>5</v>
      </c>
    </row>
    <row r="10" ht="18" customHeight="1">
      <c r="A10" s="18" t="inlineStr">
        <is>
          <t>ARCHIVE-DS-01</t>
        </is>
      </c>
      <c r="B10" s="18" t="inlineStr">
        <is>
          <t>NFS</t>
        </is>
      </c>
      <c r="C10" s="18" t="inlineStr">
        <is>
          <t>DEV-Cluster-01</t>
        </is>
      </c>
      <c r="D10" s="19" t="n">
        <v>20480</v>
      </c>
      <c r="E10" s="19" t="n">
        <v>8000</v>
      </c>
      <c r="F10" s="19">
        <f>D10-E10</f>
        <v/>
      </c>
      <c r="G10" s="20">
        <f>IFERROR(F10/D10,0)</f>
        <v/>
      </c>
      <c r="H10" s="19" t="n">
        <v>15000</v>
      </c>
      <c r="I10" s="20">
        <f>IFERROR(H10/D10,0)</f>
        <v/>
      </c>
      <c r="J10" s="18" t="inlineStr">
        <is>
          <t>Yes</t>
        </is>
      </c>
      <c r="K10" s="18" t="n">
        <v>3</v>
      </c>
    </row>
  </sheetData>
  <mergeCells count="1">
    <mergeCell ref="A1:L1"/>
  </mergeCells>
  <conditionalFormatting sqref="G3:G10">
    <cfRule type="colorScale" priority="1">
      <colorScale>
        <cfvo type="num" val="0"/>
        <cfvo type="num" val="0.7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M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20" customWidth="1" min="4" max="4"/>
    <col width="8" customWidth="1" min="5" max="5"/>
    <col width="13" customWidth="1" min="6" max="6"/>
    <col width="13" customWidth="1" min="7" max="7"/>
    <col width="19" customWidth="1" min="8" max="8"/>
    <col width="18" customWidth="1" min="9" max="9"/>
    <col width="22" customWidth="1" min="10" max="10"/>
    <col width="14" customWidth="1" min="11" max="11"/>
    <col width="13" customWidth="1" min="12" max="12"/>
    <col width="25" customWidth="1" min="13" max="13"/>
  </cols>
  <sheetData>
    <row r="1" ht="35" customHeight="1">
      <c r="A1" s="13" t="inlineStr">
        <is>
          <t>⚡  DONNÉES MACHINES VIRTUELLES – Export vCenter 8</t>
        </is>
      </c>
    </row>
    <row r="2" ht="22" customHeight="1">
      <c r="A2" s="22" t="inlineStr">
        <is>
          <t>VM Name</t>
        </is>
      </c>
      <c r="B2" s="22" t="inlineStr">
        <is>
          <t>Power State</t>
        </is>
      </c>
      <c r="C2" s="22" t="inlineStr">
        <is>
          <t>Host</t>
        </is>
      </c>
      <c r="D2" s="22" t="inlineStr">
        <is>
          <t>Cluster</t>
        </is>
      </c>
      <c r="E2" s="22" t="inlineStr">
        <is>
          <t>vCPUs</t>
        </is>
      </c>
      <c r="F2" s="22" t="inlineStr">
        <is>
          <t>Memory (MB)</t>
        </is>
      </c>
      <c r="G2" s="22" t="inlineStr">
        <is>
          <t>Memory (GB)</t>
        </is>
      </c>
      <c r="H2" s="22" t="inlineStr">
        <is>
          <t>Prov. Storage (GB)</t>
        </is>
      </c>
      <c r="I2" s="22" t="inlineStr">
        <is>
          <t>Used Storage (GB)</t>
        </is>
      </c>
      <c r="J2" s="22" t="inlineStr">
        <is>
          <t>Guest OS</t>
        </is>
      </c>
      <c r="K2" s="22" t="inlineStr">
        <is>
          <t>VMware Tools</t>
        </is>
      </c>
      <c r="L2" s="22" t="inlineStr">
        <is>
          <t>CPU Usage %</t>
        </is>
      </c>
      <c r="M2" s="22" t="inlineStr">
        <is>
          <t>Notes</t>
        </is>
      </c>
    </row>
    <row r="3" ht="18" customHeight="1">
      <c r="A3" s="15" t="inlineStr">
        <is>
          <t>vm-web-prod-01</t>
        </is>
      </c>
      <c r="B3" s="23" t="inlineStr">
        <is>
          <t>poweredOn</t>
        </is>
      </c>
      <c r="C3" s="15" t="inlineStr">
        <is>
          <t>esxi-01.lab.local</t>
        </is>
      </c>
      <c r="D3" s="15" t="inlineStr">
        <is>
          <t>PROD-Cluster-01</t>
        </is>
      </c>
      <c r="E3" s="15" t="n">
        <v>4</v>
      </c>
      <c r="F3" s="16" t="n">
        <v>16384</v>
      </c>
      <c r="G3" s="24">
        <f>F3/1024</f>
        <v/>
      </c>
      <c r="H3" s="16" t="n">
        <v>120</v>
      </c>
      <c r="I3" s="16" t="n">
        <v>85</v>
      </c>
      <c r="J3" s="15" t="inlineStr">
        <is>
          <t>Ubuntu 22.04</t>
        </is>
      </c>
      <c r="K3" s="15" t="inlineStr">
        <is>
          <t>Current</t>
        </is>
      </c>
      <c r="L3" s="15" t="inlineStr">
        <is>
          <t>35%</t>
        </is>
      </c>
    </row>
    <row r="4" ht="18" customHeight="1">
      <c r="A4" s="18" t="inlineStr">
        <is>
          <t>vm-db-prod-01</t>
        </is>
      </c>
      <c r="B4" s="25" t="inlineStr">
        <is>
          <t>poweredOn</t>
        </is>
      </c>
      <c r="C4" s="18" t="inlineStr">
        <is>
          <t>esxi-01.lab.local</t>
        </is>
      </c>
      <c r="D4" s="18" t="inlineStr">
        <is>
          <t>PROD-Cluster-01</t>
        </is>
      </c>
      <c r="E4" s="18" t="n">
        <v>8</v>
      </c>
      <c r="F4" s="19" t="n">
        <v>65536</v>
      </c>
      <c r="G4" s="26">
        <f>F4/1024</f>
        <v/>
      </c>
      <c r="H4" s="19" t="n">
        <v>500</v>
      </c>
      <c r="I4" s="19" t="n">
        <v>420</v>
      </c>
      <c r="J4" s="18" t="inlineStr">
        <is>
          <t>RHEL 9</t>
        </is>
      </c>
      <c r="K4" s="18" t="inlineStr">
        <is>
          <t>Current</t>
        </is>
      </c>
      <c r="L4" s="18" t="inlineStr">
        <is>
          <t>62%</t>
        </is>
      </c>
    </row>
    <row r="5" ht="18" customHeight="1">
      <c r="A5" s="15" t="inlineStr">
        <is>
          <t>vm-app-prod-01</t>
        </is>
      </c>
      <c r="B5" s="23" t="inlineStr">
        <is>
          <t>poweredOn</t>
        </is>
      </c>
      <c r="C5" s="15" t="inlineStr">
        <is>
          <t>esxi-02.lab.local</t>
        </is>
      </c>
      <c r="D5" s="15" t="inlineStr">
        <is>
          <t>PROD-Cluster-01</t>
        </is>
      </c>
      <c r="E5" s="15" t="n">
        <v>4</v>
      </c>
      <c r="F5" s="16" t="n">
        <v>32768</v>
      </c>
      <c r="G5" s="24">
        <f>F5/1024</f>
        <v/>
      </c>
      <c r="H5" s="16" t="n">
        <v>200</v>
      </c>
      <c r="I5" s="16" t="n">
        <v>150</v>
      </c>
      <c r="J5" s="15" t="inlineStr">
        <is>
          <t>Windows 2022</t>
        </is>
      </c>
      <c r="K5" s="15" t="inlineStr">
        <is>
          <t>Current</t>
        </is>
      </c>
      <c r="L5" s="15" t="inlineStr">
        <is>
          <t>28%</t>
        </is>
      </c>
    </row>
    <row r="6" ht="18" customHeight="1">
      <c r="A6" s="18" t="inlineStr">
        <is>
          <t>vm-app-prod-02</t>
        </is>
      </c>
      <c r="B6" s="25" t="inlineStr">
        <is>
          <t>poweredOn</t>
        </is>
      </c>
      <c r="C6" s="18" t="inlineStr">
        <is>
          <t>esxi-02.lab.local</t>
        </is>
      </c>
      <c r="D6" s="18" t="inlineStr">
        <is>
          <t>PROD-Cluster-01</t>
        </is>
      </c>
      <c r="E6" s="18" t="n">
        <v>4</v>
      </c>
      <c r="F6" s="19" t="n">
        <v>32768</v>
      </c>
      <c r="G6" s="26">
        <f>F6/1024</f>
        <v/>
      </c>
      <c r="H6" s="19" t="n">
        <v>200</v>
      </c>
      <c r="I6" s="19" t="n">
        <v>160</v>
      </c>
      <c r="J6" s="18" t="inlineStr">
        <is>
          <t>Windows 2022</t>
        </is>
      </c>
      <c r="K6" s="18" t="inlineStr">
        <is>
          <t>Current</t>
        </is>
      </c>
      <c r="L6" s="18" t="inlineStr">
        <is>
          <t>31%</t>
        </is>
      </c>
    </row>
    <row r="7" ht="18" customHeight="1">
      <c r="A7" s="15" t="inlineStr">
        <is>
          <t>vm-api-prod-01</t>
        </is>
      </c>
      <c r="B7" s="23" t="inlineStr">
        <is>
          <t>poweredOn</t>
        </is>
      </c>
      <c r="C7" s="15" t="inlineStr">
        <is>
          <t>esxi-03.lab.local</t>
        </is>
      </c>
      <c r="D7" s="15" t="inlineStr">
        <is>
          <t>PROD-Cluster-01</t>
        </is>
      </c>
      <c r="E7" s="15" t="n">
        <v>2</v>
      </c>
      <c r="F7" s="16" t="n">
        <v>8192</v>
      </c>
      <c r="G7" s="24">
        <f>F7/1024</f>
        <v/>
      </c>
      <c r="H7" s="16" t="n">
        <v>80</v>
      </c>
      <c r="I7" s="16" t="n">
        <v>55</v>
      </c>
      <c r="J7" s="15" t="inlineStr">
        <is>
          <t>Ubuntu 22.04</t>
        </is>
      </c>
      <c r="K7" s="15" t="inlineStr">
        <is>
          <t>Current</t>
        </is>
      </c>
      <c r="L7" s="15" t="inlineStr">
        <is>
          <t>18%</t>
        </is>
      </c>
    </row>
    <row r="8" ht="18" customHeight="1">
      <c r="A8" s="18" t="inlineStr">
        <is>
          <t>vm-db-prod-02</t>
        </is>
      </c>
      <c r="B8" s="25" t="inlineStr">
        <is>
          <t>poweredOn</t>
        </is>
      </c>
      <c r="C8" s="18" t="inlineStr">
        <is>
          <t>esxi-04.lab.local</t>
        </is>
      </c>
      <c r="D8" s="18" t="inlineStr">
        <is>
          <t>PROD-Cluster-02</t>
        </is>
      </c>
      <c r="E8" s="18" t="n">
        <v>8</v>
      </c>
      <c r="F8" s="19" t="n">
        <v>131072</v>
      </c>
      <c r="G8" s="26">
        <f>F8/1024</f>
        <v/>
      </c>
      <c r="H8" s="19" t="n">
        <v>800</v>
      </c>
      <c r="I8" s="19" t="n">
        <v>650</v>
      </c>
      <c r="J8" s="18" t="inlineStr">
        <is>
          <t>Oracle Linux</t>
        </is>
      </c>
      <c r="K8" s="18" t="inlineStr">
        <is>
          <t>Current</t>
        </is>
      </c>
      <c r="L8" s="18" t="inlineStr">
        <is>
          <t>75%</t>
        </is>
      </c>
    </row>
    <row r="9" ht="18" customHeight="1">
      <c r="A9" s="15" t="inlineStr">
        <is>
          <t>vm-erp-prod-01</t>
        </is>
      </c>
      <c r="B9" s="23" t="inlineStr">
        <is>
          <t>poweredOn</t>
        </is>
      </c>
      <c r="C9" s="15" t="inlineStr">
        <is>
          <t>esxi-04.lab.local</t>
        </is>
      </c>
      <c r="D9" s="15" t="inlineStr">
        <is>
          <t>PROD-Cluster-02</t>
        </is>
      </c>
      <c r="E9" s="15" t="n">
        <v>16</v>
      </c>
      <c r="F9" s="16" t="n">
        <v>131072</v>
      </c>
      <c r="G9" s="24">
        <f>F9/1024</f>
        <v/>
      </c>
      <c r="H9" s="16" t="n">
        <v>600</v>
      </c>
      <c r="I9" s="16" t="n">
        <v>520</v>
      </c>
      <c r="J9" s="15" t="inlineStr">
        <is>
          <t>Windows 2019</t>
        </is>
      </c>
      <c r="K9" s="15" t="inlineStr">
        <is>
          <t>Current</t>
        </is>
      </c>
      <c r="L9" s="15" t="inlineStr">
        <is>
          <t>55%</t>
        </is>
      </c>
    </row>
    <row r="10" ht="18" customHeight="1">
      <c r="A10" s="18" t="inlineStr">
        <is>
          <t>vm-backup-prod-01</t>
        </is>
      </c>
      <c r="B10" s="25" t="inlineStr">
        <is>
          <t>poweredOn</t>
        </is>
      </c>
      <c r="C10" s="18" t="inlineStr">
        <is>
          <t>esxi-05.lab.local</t>
        </is>
      </c>
      <c r="D10" s="18" t="inlineStr">
        <is>
          <t>PROD-Cluster-02</t>
        </is>
      </c>
      <c r="E10" s="18" t="n">
        <v>4</v>
      </c>
      <c r="F10" s="19" t="n">
        <v>16384</v>
      </c>
      <c r="G10" s="26">
        <f>F10/1024</f>
        <v/>
      </c>
      <c r="H10" s="19" t="n">
        <v>2000</v>
      </c>
      <c r="I10" s="19" t="n">
        <v>1800</v>
      </c>
      <c r="J10" s="18" t="inlineStr">
        <is>
          <t>Windows 2022</t>
        </is>
      </c>
      <c r="K10" s="18" t="inlineStr">
        <is>
          <t>Current</t>
        </is>
      </c>
      <c r="L10" s="18" t="inlineStr">
        <is>
          <t>12%</t>
        </is>
      </c>
    </row>
    <row r="11" ht="18" customHeight="1">
      <c r="A11" s="15" t="inlineStr">
        <is>
          <t>vm-dev-01</t>
        </is>
      </c>
      <c r="B11" s="23" t="inlineStr">
        <is>
          <t>poweredOn</t>
        </is>
      </c>
      <c r="C11" s="15" t="inlineStr">
        <is>
          <t>esxi-06.lab.local</t>
        </is>
      </c>
      <c r="D11" s="15" t="inlineStr">
        <is>
          <t>DEV-Cluster-01</t>
        </is>
      </c>
      <c r="E11" s="15" t="n">
        <v>2</v>
      </c>
      <c r="F11" s="16" t="n">
        <v>8192</v>
      </c>
      <c r="G11" s="24">
        <f>F11/1024</f>
        <v/>
      </c>
      <c r="H11" s="16" t="n">
        <v>80</v>
      </c>
      <c r="I11" s="16" t="n">
        <v>40</v>
      </c>
      <c r="J11" s="15" t="inlineStr">
        <is>
          <t>Ubuntu 22.04</t>
        </is>
      </c>
      <c r="K11" s="15" t="inlineStr">
        <is>
          <t>Current</t>
        </is>
      </c>
      <c r="L11" s="15" t="inlineStr">
        <is>
          <t>8%</t>
        </is>
      </c>
    </row>
    <row r="12" ht="18" customHeight="1">
      <c r="A12" s="18" t="inlineStr">
        <is>
          <t>vm-dev-02</t>
        </is>
      </c>
      <c r="B12" s="27" t="inlineStr">
        <is>
          <t>poweredOff</t>
        </is>
      </c>
      <c r="C12" s="18" t="inlineStr">
        <is>
          <t>esxi-06.lab.local</t>
        </is>
      </c>
      <c r="D12" s="18" t="inlineStr">
        <is>
          <t>DEV-Cluster-01</t>
        </is>
      </c>
      <c r="E12" s="18" t="n">
        <v>4</v>
      </c>
      <c r="F12" s="19" t="n">
        <v>16384</v>
      </c>
      <c r="G12" s="26">
        <f>F12/1024</f>
        <v/>
      </c>
      <c r="H12" s="19" t="n">
        <v>120</v>
      </c>
      <c r="I12" s="19" t="n">
        <v>100</v>
      </c>
      <c r="J12" s="18" t="inlineStr">
        <is>
          <t>Windows 2022</t>
        </is>
      </c>
      <c r="K12" s="18" t="inlineStr">
        <is>
          <t>Current</t>
        </is>
      </c>
      <c r="L12" s="18" t="inlineStr">
        <is>
          <t>0%</t>
        </is>
      </c>
    </row>
    <row r="13" ht="18" customHeight="1">
      <c r="A13" s="15" t="inlineStr">
        <is>
          <t>vm-test-01</t>
        </is>
      </c>
      <c r="B13" s="23" t="inlineStr">
        <is>
          <t>poweredOn</t>
        </is>
      </c>
      <c r="C13" s="15" t="inlineStr">
        <is>
          <t>esxi-07.lab.local</t>
        </is>
      </c>
      <c r="D13" s="15" t="inlineStr">
        <is>
          <t>DEV-Cluster-01</t>
        </is>
      </c>
      <c r="E13" s="15" t="n">
        <v>2</v>
      </c>
      <c r="F13" s="16" t="n">
        <v>4096</v>
      </c>
      <c r="G13" s="24">
        <f>F13/1024</f>
        <v/>
      </c>
      <c r="H13" s="16" t="n">
        <v>60</v>
      </c>
      <c r="I13" s="16" t="n">
        <v>30</v>
      </c>
      <c r="J13" s="15" t="inlineStr">
        <is>
          <t>Ubuntu 20.04</t>
        </is>
      </c>
      <c r="K13" s="15" t="inlineStr">
        <is>
          <t>Outdated</t>
        </is>
      </c>
      <c r="L13" s="15" t="inlineStr">
        <is>
          <t>5%</t>
        </is>
      </c>
    </row>
    <row r="14" ht="18" customHeight="1">
      <c r="A14" s="18" t="inlineStr">
        <is>
          <t>vm-test-02</t>
        </is>
      </c>
      <c r="B14" s="27" t="inlineStr">
        <is>
          <t>poweredOff</t>
        </is>
      </c>
      <c r="C14" s="18" t="inlineStr">
        <is>
          <t>esxi-07.lab.local</t>
        </is>
      </c>
      <c r="D14" s="18" t="inlineStr">
        <is>
          <t>DEV-Cluster-01</t>
        </is>
      </c>
      <c r="E14" s="18" t="n">
        <v>2</v>
      </c>
      <c r="F14" s="19" t="n">
        <v>4096</v>
      </c>
      <c r="G14" s="26">
        <f>F14/1024</f>
        <v/>
      </c>
      <c r="H14" s="19" t="n">
        <v>60</v>
      </c>
      <c r="I14" s="19" t="n">
        <v>25</v>
      </c>
      <c r="J14" s="18" t="inlineStr">
        <is>
          <t>CentOS 7</t>
        </is>
      </c>
      <c r="K14" s="18" t="inlineStr">
        <is>
          <t>Outdated</t>
        </is>
      </c>
      <c r="L14" s="18" t="inlineStr">
        <is>
          <t>0%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S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40" customHeight="1">
      <c r="A1" s="28" t="inlineStr">
        <is>
          <t>📊  ANALYSE DE CAPACITÉ – COMPUTE (CPU &amp; RAM)</t>
        </is>
      </c>
    </row>
    <row r="2" ht="16" customHeight="1">
      <c r="A2" s="29" t="inlineStr">
        <is>
          <t>Données issues de l'onglet 🖥️ RAW_Hosts | Mise à jour automatique</t>
        </is>
      </c>
    </row>
    <row r="4" ht="20" customHeight="1">
      <c r="A4" s="30" t="inlineStr">
        <is>
          <t xml:space="preserve">  🔢  RÉCAPITULATIF GLOBAL</t>
        </is>
      </c>
    </row>
    <row r="5" ht="18" customHeight="1">
      <c r="A5" s="31" t="inlineStr">
        <is>
          <t>Total Hosts</t>
        </is>
      </c>
      <c r="D5" s="32" t="inlineStr">
        <is>
          <t>Total vCPUs</t>
        </is>
      </c>
      <c r="G5" s="33" t="inlineStr">
        <is>
          <t>CPU Utilisé</t>
        </is>
      </c>
      <c r="J5" s="31" t="inlineStr">
        <is>
          <t>RAM Totale</t>
        </is>
      </c>
      <c r="M5" s="34" t="inlineStr">
        <is>
          <t>RAM Utilisée</t>
        </is>
      </c>
    </row>
    <row r="6" ht="34" customHeight="1">
      <c r="A6" s="35">
        <f>COUNTA('🖥️ RAW_Hosts'!A3:A100)-COUNTBLANK('🖥️ RAW_Hosts'!A3:A100)</f>
        <v/>
      </c>
      <c r="D6" s="36">
        <f>SUM('🖥️ RAW_Hosts'!E3:E100)</f>
        <v/>
      </c>
      <c r="G6" s="37">
        <f>IFERROR(SUM('🖥️ RAW_Hosts'!F3:F100)/SUM('🖥️ RAW_Hosts'!G3:G100),0)</f>
        <v/>
      </c>
      <c r="J6" s="35">
        <f>IFERROR(ROUND(SUM('🖥️ RAW_Hosts'!J3:J100)/1024,0),0)</f>
        <v/>
      </c>
      <c r="M6" s="38">
        <f>IFERROR(SUM('🖥️ RAW_Hosts'!I3:I100)/SUM('🖥️ RAW_Hosts'!J3:J100),0)</f>
        <v/>
      </c>
    </row>
    <row r="7" ht="16" customHeight="1">
      <c r="A7" s="39" t="inlineStr">
        <is>
          <t>hosts</t>
        </is>
      </c>
      <c r="D7" s="40" t="inlineStr">
        <is>
          <t>cores logiques</t>
        </is>
      </c>
      <c r="G7" s="41" t="inlineStr">
        <is>
          <t>% usage moyen</t>
        </is>
      </c>
      <c r="J7" s="39" t="inlineStr">
        <is>
          <t>GB total cluster</t>
        </is>
      </c>
      <c r="M7" s="42" t="inlineStr">
        <is>
          <t>% usage moyen</t>
        </is>
      </c>
    </row>
    <row r="9" ht="20" customHeight="1">
      <c r="A9" s="30" t="inlineStr">
        <is>
          <t xml:space="preserve">  📋  DÉTAIL PAR HOST</t>
        </is>
      </c>
    </row>
    <row r="10" ht="22" customHeight="1">
      <c r="A10" s="14" t="inlineStr">
        <is>
          <t>Host Name</t>
        </is>
      </c>
      <c r="B10" s="14" t="inlineStr">
        <is>
          <t>Cluster</t>
        </is>
      </c>
      <c r="C10" s="14" t="inlineStr">
        <is>
          <t>Tot. vCPUs</t>
        </is>
      </c>
      <c r="D10" s="14" t="inlineStr">
        <is>
          <t>CPU Usage(MHz)</t>
        </is>
      </c>
      <c r="E10" s="14" t="inlineStr">
        <is>
          <t>CPU Total(MHz)</t>
        </is>
      </c>
      <c r="F10" s="14" t="inlineStr">
        <is>
          <t>CPU%</t>
        </is>
      </c>
      <c r="G10" s="14" t="inlineStr">
        <is>
          <t>Statut CPU</t>
        </is>
      </c>
      <c r="H10" s="14" t="inlineStr">
        <is>
          <t>RAM Usage(MB)</t>
        </is>
      </c>
      <c r="I10" s="14" t="inlineStr">
        <is>
          <t>RAM Total(MB)</t>
        </is>
      </c>
      <c r="J10" s="14" t="inlineStr">
        <is>
          <t>RAM%</t>
        </is>
      </c>
      <c r="K10" s="14" t="inlineStr">
        <is>
          <t>Statut RAM</t>
        </is>
      </c>
      <c r="L10" s="14" t="inlineStr">
        <is>
          <t>VMs</t>
        </is>
      </c>
      <c r="M10" s="14" t="inlineStr">
        <is>
          <t>Version ESXi</t>
        </is>
      </c>
      <c r="N10" s="14" t="inlineStr">
        <is>
          <t>Headroom CPU(MHz)</t>
        </is>
      </c>
      <c r="O10" s="14" t="inlineStr">
        <is>
          <t>Headroom RAM(MB)</t>
        </is>
      </c>
    </row>
    <row r="11" ht="18" customHeight="1">
      <c r="A11" s="15">
        <f>'🖥️ RAW_Hosts'!A3</f>
        <v/>
      </c>
      <c r="B11" s="15">
        <f>'🖥️ RAW_Hosts'!B3</f>
        <v/>
      </c>
      <c r="C11" s="16">
        <f>'🖥️ RAW_Hosts'!E3</f>
        <v/>
      </c>
      <c r="D11" s="16">
        <f>'🖥️ RAW_Hosts'!F3</f>
        <v/>
      </c>
      <c r="E11" s="16">
        <f>'🖥️ RAW_Hosts'!G3</f>
        <v/>
      </c>
      <c r="F11" s="17">
        <f>IFERROR(D11/E11,0)</f>
        <v/>
      </c>
      <c r="G11" s="15">
        <f>IF(F11&lt;0.7,"✅ OK",IF(F11&lt;0.85,"⚠️ Warning","🔴 Critical"))</f>
        <v/>
      </c>
      <c r="H11" s="16">
        <f>'🖥️ RAW_Hosts'!I3</f>
        <v/>
      </c>
      <c r="I11" s="16">
        <f>'🖥️ RAW_Hosts'!J3</f>
        <v/>
      </c>
      <c r="J11" s="17">
        <f>IFERROR(H11/I11,0)</f>
        <v/>
      </c>
      <c r="K11" s="15">
        <f>IF(J11&lt;0.75,"✅ OK",IF(J11&lt;0.90,"⚠️ Warning","🔴 Critical"))</f>
        <v/>
      </c>
      <c r="L11" s="16">
        <f>'🖥️ RAW_Hosts'!L3</f>
        <v/>
      </c>
      <c r="M11" s="15">
        <f>'🖥️ RAW_Hosts'!N3</f>
        <v/>
      </c>
      <c r="N11" s="16">
        <f>E11-D11</f>
        <v/>
      </c>
      <c r="O11" s="16">
        <f>I11-H11</f>
        <v/>
      </c>
    </row>
    <row r="12" ht="18" customHeight="1">
      <c r="A12" s="18">
        <f>'🖥️ RAW_Hosts'!A4</f>
        <v/>
      </c>
      <c r="B12" s="18">
        <f>'🖥️ RAW_Hosts'!B4</f>
        <v/>
      </c>
      <c r="C12" s="19">
        <f>'🖥️ RAW_Hosts'!E4</f>
        <v/>
      </c>
      <c r="D12" s="19">
        <f>'🖥️ RAW_Hosts'!F4</f>
        <v/>
      </c>
      <c r="E12" s="19">
        <f>'🖥️ RAW_Hosts'!G4</f>
        <v/>
      </c>
      <c r="F12" s="20">
        <f>IFERROR(D12/E12,0)</f>
        <v/>
      </c>
      <c r="G12" s="18">
        <f>IF(F12&lt;0.7,"✅ OK",IF(F12&lt;0.85,"⚠️ Warning","🔴 Critical"))</f>
        <v/>
      </c>
      <c r="H12" s="19">
        <f>'🖥️ RAW_Hosts'!I4</f>
        <v/>
      </c>
      <c r="I12" s="19">
        <f>'🖥️ RAW_Hosts'!J4</f>
        <v/>
      </c>
      <c r="J12" s="20">
        <f>IFERROR(H12/I12,0)</f>
        <v/>
      </c>
      <c r="K12" s="18">
        <f>IF(J12&lt;0.75,"✅ OK",IF(J12&lt;0.90,"⚠️ Warning","🔴 Critical"))</f>
        <v/>
      </c>
      <c r="L12" s="19">
        <f>'🖥️ RAW_Hosts'!L4</f>
        <v/>
      </c>
      <c r="M12" s="18">
        <f>'🖥️ RAW_Hosts'!N4</f>
        <v/>
      </c>
      <c r="N12" s="19">
        <f>E12-D12</f>
        <v/>
      </c>
      <c r="O12" s="19">
        <f>I12-H12</f>
        <v/>
      </c>
    </row>
    <row r="13" ht="18" customHeight="1">
      <c r="A13" s="15">
        <f>'🖥️ RAW_Hosts'!A5</f>
        <v/>
      </c>
      <c r="B13" s="15">
        <f>'🖥️ RAW_Hosts'!B5</f>
        <v/>
      </c>
      <c r="C13" s="16">
        <f>'🖥️ RAW_Hosts'!E5</f>
        <v/>
      </c>
      <c r="D13" s="16">
        <f>'🖥️ RAW_Hosts'!F5</f>
        <v/>
      </c>
      <c r="E13" s="16">
        <f>'🖥️ RAW_Hosts'!G5</f>
        <v/>
      </c>
      <c r="F13" s="17">
        <f>IFERROR(D13/E13,0)</f>
        <v/>
      </c>
      <c r="G13" s="15">
        <f>IF(F13&lt;0.7,"✅ OK",IF(F13&lt;0.85,"⚠️ Warning","🔴 Critical"))</f>
        <v/>
      </c>
      <c r="H13" s="16">
        <f>'🖥️ RAW_Hosts'!I5</f>
        <v/>
      </c>
      <c r="I13" s="16">
        <f>'🖥️ RAW_Hosts'!J5</f>
        <v/>
      </c>
      <c r="J13" s="17">
        <f>IFERROR(H13/I13,0)</f>
        <v/>
      </c>
      <c r="K13" s="15">
        <f>IF(J13&lt;0.75,"✅ OK",IF(J13&lt;0.90,"⚠️ Warning","🔴 Critical"))</f>
        <v/>
      </c>
      <c r="L13" s="16">
        <f>'🖥️ RAW_Hosts'!L5</f>
        <v/>
      </c>
      <c r="M13" s="15">
        <f>'🖥️ RAW_Hosts'!N5</f>
        <v/>
      </c>
      <c r="N13" s="16">
        <f>E13-D13</f>
        <v/>
      </c>
      <c r="O13" s="16">
        <f>I13-H13</f>
        <v/>
      </c>
    </row>
    <row r="14" ht="18" customHeight="1">
      <c r="A14" s="18">
        <f>'🖥️ RAW_Hosts'!A6</f>
        <v/>
      </c>
      <c r="B14" s="18">
        <f>'🖥️ RAW_Hosts'!B6</f>
        <v/>
      </c>
      <c r="C14" s="19">
        <f>'🖥️ RAW_Hosts'!E6</f>
        <v/>
      </c>
      <c r="D14" s="19">
        <f>'🖥️ RAW_Hosts'!F6</f>
        <v/>
      </c>
      <c r="E14" s="19">
        <f>'🖥️ RAW_Hosts'!G6</f>
        <v/>
      </c>
      <c r="F14" s="20">
        <f>IFERROR(D14/E14,0)</f>
        <v/>
      </c>
      <c r="G14" s="18">
        <f>IF(F14&lt;0.7,"✅ OK",IF(F14&lt;0.85,"⚠️ Warning","🔴 Critical"))</f>
        <v/>
      </c>
      <c r="H14" s="19">
        <f>'🖥️ RAW_Hosts'!I6</f>
        <v/>
      </c>
      <c r="I14" s="19">
        <f>'🖥️ RAW_Hosts'!J6</f>
        <v/>
      </c>
      <c r="J14" s="20">
        <f>IFERROR(H14/I14,0)</f>
        <v/>
      </c>
      <c r="K14" s="18">
        <f>IF(J14&lt;0.75,"✅ OK",IF(J14&lt;0.90,"⚠️ Warning","🔴 Critical"))</f>
        <v/>
      </c>
      <c r="L14" s="19">
        <f>'🖥️ RAW_Hosts'!L6</f>
        <v/>
      </c>
      <c r="M14" s="18">
        <f>'🖥️ RAW_Hosts'!N6</f>
        <v/>
      </c>
      <c r="N14" s="19">
        <f>E14-D14</f>
        <v/>
      </c>
      <c r="O14" s="19">
        <f>I14-H14</f>
        <v/>
      </c>
    </row>
    <row r="15" ht="18" customHeight="1">
      <c r="A15" s="15">
        <f>'🖥️ RAW_Hosts'!A7</f>
        <v/>
      </c>
      <c r="B15" s="15">
        <f>'🖥️ RAW_Hosts'!B7</f>
        <v/>
      </c>
      <c r="C15" s="16">
        <f>'🖥️ RAW_Hosts'!E7</f>
        <v/>
      </c>
      <c r="D15" s="16">
        <f>'🖥️ RAW_Hosts'!F7</f>
        <v/>
      </c>
      <c r="E15" s="16">
        <f>'🖥️ RAW_Hosts'!G7</f>
        <v/>
      </c>
      <c r="F15" s="17">
        <f>IFERROR(D15/E15,0)</f>
        <v/>
      </c>
      <c r="G15" s="15">
        <f>IF(F15&lt;0.7,"✅ OK",IF(F15&lt;0.85,"⚠️ Warning","🔴 Critical"))</f>
        <v/>
      </c>
      <c r="H15" s="16">
        <f>'🖥️ RAW_Hosts'!I7</f>
        <v/>
      </c>
      <c r="I15" s="16">
        <f>'🖥️ RAW_Hosts'!J7</f>
        <v/>
      </c>
      <c r="J15" s="17">
        <f>IFERROR(H15/I15,0)</f>
        <v/>
      </c>
      <c r="K15" s="15">
        <f>IF(J15&lt;0.75,"✅ OK",IF(J15&lt;0.90,"⚠️ Warning","🔴 Critical"))</f>
        <v/>
      </c>
      <c r="L15" s="16">
        <f>'🖥️ RAW_Hosts'!L7</f>
        <v/>
      </c>
      <c r="M15" s="15">
        <f>'🖥️ RAW_Hosts'!N7</f>
        <v/>
      </c>
      <c r="N15" s="16">
        <f>E15-D15</f>
        <v/>
      </c>
      <c r="O15" s="16">
        <f>I15-H15</f>
        <v/>
      </c>
    </row>
    <row r="16" ht="18" customHeight="1">
      <c r="A16" s="18">
        <f>'🖥️ RAW_Hosts'!A8</f>
        <v/>
      </c>
      <c r="B16" s="18">
        <f>'🖥️ RAW_Hosts'!B8</f>
        <v/>
      </c>
      <c r="C16" s="19">
        <f>'🖥️ RAW_Hosts'!E8</f>
        <v/>
      </c>
      <c r="D16" s="19">
        <f>'🖥️ RAW_Hosts'!F8</f>
        <v/>
      </c>
      <c r="E16" s="19">
        <f>'🖥️ RAW_Hosts'!G8</f>
        <v/>
      </c>
      <c r="F16" s="20">
        <f>IFERROR(D16/E16,0)</f>
        <v/>
      </c>
      <c r="G16" s="18">
        <f>IF(F16&lt;0.7,"✅ OK",IF(F16&lt;0.85,"⚠️ Warning","🔴 Critical"))</f>
        <v/>
      </c>
      <c r="H16" s="19">
        <f>'🖥️ RAW_Hosts'!I8</f>
        <v/>
      </c>
      <c r="I16" s="19">
        <f>'🖥️ RAW_Hosts'!J8</f>
        <v/>
      </c>
      <c r="J16" s="20">
        <f>IFERROR(H16/I16,0)</f>
        <v/>
      </c>
      <c r="K16" s="18">
        <f>IF(J16&lt;0.75,"✅ OK",IF(J16&lt;0.90,"⚠️ Warning","🔴 Critical"))</f>
        <v/>
      </c>
      <c r="L16" s="19">
        <f>'🖥️ RAW_Hosts'!L8</f>
        <v/>
      </c>
      <c r="M16" s="18">
        <f>'🖥️ RAW_Hosts'!N8</f>
        <v/>
      </c>
      <c r="N16" s="19">
        <f>E16-D16</f>
        <v/>
      </c>
      <c r="O16" s="19">
        <f>I16-H16</f>
        <v/>
      </c>
    </row>
    <row r="17" ht="18" customHeight="1">
      <c r="A17" s="15">
        <f>'🖥️ RAW_Hosts'!A9</f>
        <v/>
      </c>
      <c r="B17" s="15">
        <f>'🖥️ RAW_Hosts'!B9</f>
        <v/>
      </c>
      <c r="C17" s="16">
        <f>'🖥️ RAW_Hosts'!E9</f>
        <v/>
      </c>
      <c r="D17" s="16">
        <f>'🖥️ RAW_Hosts'!F9</f>
        <v/>
      </c>
      <c r="E17" s="16">
        <f>'🖥️ RAW_Hosts'!G9</f>
        <v/>
      </c>
      <c r="F17" s="17">
        <f>IFERROR(D17/E17,0)</f>
        <v/>
      </c>
      <c r="G17" s="15">
        <f>IF(F17&lt;0.7,"✅ OK",IF(F17&lt;0.85,"⚠️ Warning","🔴 Critical"))</f>
        <v/>
      </c>
      <c r="H17" s="16">
        <f>'🖥️ RAW_Hosts'!I9</f>
        <v/>
      </c>
      <c r="I17" s="16">
        <f>'🖥️ RAW_Hosts'!J9</f>
        <v/>
      </c>
      <c r="J17" s="17">
        <f>IFERROR(H17/I17,0)</f>
        <v/>
      </c>
      <c r="K17" s="15">
        <f>IF(J17&lt;0.75,"✅ OK",IF(J17&lt;0.90,"⚠️ Warning","🔴 Critical"))</f>
        <v/>
      </c>
      <c r="L17" s="16">
        <f>'🖥️ RAW_Hosts'!L9</f>
        <v/>
      </c>
      <c r="M17" s="15">
        <f>'🖥️ RAW_Hosts'!N9</f>
        <v/>
      </c>
      <c r="N17" s="16">
        <f>E17-D17</f>
        <v/>
      </c>
      <c r="O17" s="16">
        <f>I17-H17</f>
        <v/>
      </c>
    </row>
    <row r="18" ht="20" customHeight="1">
      <c r="A18" s="43" t="inlineStr">
        <is>
          <t>TOTAUX / MOYENNES</t>
        </is>
      </c>
      <c r="B18" s="43" t="n"/>
      <c r="C18" s="44">
        <f>SUM(C11:C17)</f>
        <v/>
      </c>
      <c r="D18" s="44">
        <f>SUM(D11:D17)</f>
        <v/>
      </c>
      <c r="E18" s="44">
        <f>SUM(E11:E17)</f>
        <v/>
      </c>
      <c r="F18" s="45">
        <f>IFERROR(SUM(D11:D17)/SUM(E11:E17),0)</f>
        <v/>
      </c>
      <c r="G18" s="43" t="n"/>
      <c r="H18" s="44">
        <f>SUM(H11:H17)</f>
        <v/>
      </c>
      <c r="I18" s="44">
        <f>SUM(I11:I17)</f>
        <v/>
      </c>
      <c r="J18" s="45">
        <f>IFERROR(SUM(H11:H17)/SUM(I11:I17),0)</f>
        <v/>
      </c>
      <c r="K18" s="43" t="n"/>
      <c r="L18" s="44">
        <f>SUM(L11:L17)</f>
        <v/>
      </c>
      <c r="M18" s="43" t="n"/>
      <c r="N18" s="44">
        <f>SUM(N11:N17)</f>
        <v/>
      </c>
      <c r="O18" s="44">
        <f>SUM(O11:O17)</f>
        <v/>
      </c>
    </row>
    <row r="20" ht="20" customHeight="1">
      <c r="A20" s="30" t="inlineStr">
        <is>
          <t xml:space="preserve">  📈  GRAPHIQUES UTILISATION CPU &amp; RAM</t>
        </is>
      </c>
    </row>
  </sheetData>
  <mergeCells count="20">
    <mergeCell ref="J5:K5"/>
    <mergeCell ref="M5:N5"/>
    <mergeCell ref="A6:B6"/>
    <mergeCell ref="D6:E6"/>
    <mergeCell ref="A7:B7"/>
    <mergeCell ref="G7:H7"/>
    <mergeCell ref="J6:K6"/>
    <mergeCell ref="G6:H6"/>
    <mergeCell ref="A4:R4"/>
    <mergeCell ref="A20:R20"/>
    <mergeCell ref="M7:N7"/>
    <mergeCell ref="D7:E7"/>
    <mergeCell ref="M6:N6"/>
    <mergeCell ref="A1:S1"/>
    <mergeCell ref="A5:B5"/>
    <mergeCell ref="G5:H5"/>
    <mergeCell ref="J7:K7"/>
    <mergeCell ref="A9:R9"/>
    <mergeCell ref="D5:E5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40" customHeight="1">
      <c r="A1" s="28" t="inlineStr">
        <is>
          <t>💽  ANALYSE DE CAPACITÉ – STOCKAGE</t>
        </is>
      </c>
    </row>
    <row r="2" ht="16" customHeight="1">
      <c r="A2" s="29" t="inlineStr">
        <is>
          <t>Données issues de l'onglet 💾 RAW_Datastores | Mise à jour automatique</t>
        </is>
      </c>
    </row>
    <row r="4" ht="20" customHeight="1">
      <c r="A4" s="30" t="inlineStr">
        <is>
          <t xml:space="preserve">  🔢  RÉCAPITULATIF STOCKAGE</t>
        </is>
      </c>
    </row>
    <row r="5" ht="18" customHeight="1">
      <c r="A5" s="31" t="inlineStr">
        <is>
          <t>Capacité Totale</t>
        </is>
      </c>
      <c r="D5" s="32" t="inlineStr">
        <is>
          <t>Espace Libre</t>
        </is>
      </c>
      <c r="G5" s="33" t="inlineStr">
        <is>
          <t>Espace Utilisé</t>
        </is>
      </c>
      <c r="J5" s="34" t="inlineStr">
        <is>
          <t>Prov. Total</t>
        </is>
      </c>
      <c r="M5" s="46" t="inlineStr">
        <is>
          <t>Over-Commit</t>
        </is>
      </c>
    </row>
    <row r="6" ht="34" customHeight="1">
      <c r="A6" s="35">
        <f>IFERROR(ROUND(SUM('💾 RAW_Datastores'!D3:D100),0),0)</f>
        <v/>
      </c>
      <c r="D6" s="36">
        <f>IFERROR(ROUND(SUM('💾 RAW_Datastores'!E3:E100),0),0)</f>
        <v/>
      </c>
      <c r="G6" s="37">
        <f>IFERROR(SUM('💾 RAW_Datastores'!F3:F100)/SUM('💾 RAW_Datastores'!D3:D100),0)</f>
        <v/>
      </c>
      <c r="J6" s="47">
        <f>IFERROR(ROUND(SUM('💾 RAW_Datastores'!H3:H100),0),0)</f>
        <v/>
      </c>
      <c r="M6" s="48">
        <f>IFERROR(SUM('💾 RAW_Datastores'!H3:H100)/SUM('💾 RAW_Datastores'!D3:D100),0)</f>
        <v/>
      </c>
    </row>
    <row r="7" ht="16" customHeight="1">
      <c r="A7" s="39" t="inlineStr">
        <is>
          <t>GB total</t>
        </is>
      </c>
      <c r="D7" s="40" t="inlineStr">
        <is>
          <t>GB disponibles</t>
        </is>
      </c>
      <c r="G7" s="41" t="inlineStr">
        <is>
          <t>% usage global</t>
        </is>
      </c>
      <c r="J7" s="42" t="inlineStr">
        <is>
          <t>GB provisionnés</t>
        </is>
      </c>
      <c r="M7" s="49" t="inlineStr">
        <is>
          <t>ratio global</t>
        </is>
      </c>
    </row>
    <row r="9" ht="20" customHeight="1">
      <c r="A9" s="30" t="inlineStr">
        <is>
          <t xml:space="preserve">  📋  DÉTAIL PAR DATASTORE</t>
        </is>
      </c>
    </row>
    <row r="10" ht="22" customHeight="1">
      <c r="A10" s="21" t="inlineStr">
        <is>
          <t>Datastore</t>
        </is>
      </c>
      <c r="B10" s="21" t="inlineStr">
        <is>
          <t>Type</t>
        </is>
      </c>
      <c r="C10" s="21" t="inlineStr">
        <is>
          <t>Cluster/Host</t>
        </is>
      </c>
      <c r="D10" s="21" t="inlineStr">
        <is>
          <t>Capacity(GB)</t>
        </is>
      </c>
      <c r="E10" s="21" t="inlineStr">
        <is>
          <t>Free(GB)</t>
        </is>
      </c>
      <c r="F10" s="21" t="inlineStr">
        <is>
          <t>Used(GB)</t>
        </is>
      </c>
      <c r="G10" s="21" t="inlineStr">
        <is>
          <t>Usage%</t>
        </is>
      </c>
      <c r="H10" s="21" t="inlineStr">
        <is>
          <t>Statut</t>
        </is>
      </c>
      <c r="I10" s="21" t="inlineStr">
        <is>
          <t>Prov(GB)</t>
        </is>
      </c>
      <c r="J10" s="21" t="inlineStr">
        <is>
          <t>Over-Commit%</t>
        </is>
      </c>
      <c r="K10" s="21" t="inlineStr">
        <is>
          <t>VMs</t>
        </is>
      </c>
      <c r="L10" s="21" t="inlineStr">
        <is>
          <t>Alerte</t>
        </is>
      </c>
    </row>
    <row r="11" ht="18" customHeight="1">
      <c r="A11" s="15">
        <f>'💾 RAW_Datastores'!A3</f>
        <v/>
      </c>
      <c r="B11" s="15">
        <f>'💾 RAW_Datastores'!B3</f>
        <v/>
      </c>
      <c r="C11" s="15">
        <f>'💾 RAW_Datastores'!C3</f>
        <v/>
      </c>
      <c r="D11" s="16">
        <f>'💾 RAW_Datastores'!D3</f>
        <v/>
      </c>
      <c r="E11" s="16">
        <f>'💾 RAW_Datastores'!E3</f>
        <v/>
      </c>
      <c r="F11" s="16">
        <f>D11-E11</f>
        <v/>
      </c>
      <c r="G11" s="17">
        <f>IFERROR(F11/D11,0)</f>
        <v/>
      </c>
      <c r="H11" s="15">
        <f>IF(G11&lt;0.7,"✅ OK",IF(G11&lt;0.85,"⚠️ Warning","🔴 Critical"))</f>
        <v/>
      </c>
      <c r="I11" s="16">
        <f>'💾 RAW_Datastores'!H3</f>
        <v/>
      </c>
      <c r="J11" s="17">
        <f>IFERROR(I11/D11,0)</f>
        <v/>
      </c>
      <c r="K11" s="16">
        <f>'💾 RAW_Datastores'!K3</f>
        <v/>
      </c>
      <c r="L11" s="15">
        <f>IF(J11&gt;1.5,"🔴 Sur-prov élevé",IF(J11&gt;1.2,"⚠️ Surveiller","✅ Normal"))</f>
        <v/>
      </c>
    </row>
    <row r="12" ht="18" customHeight="1">
      <c r="A12" s="18">
        <f>'💾 RAW_Datastores'!A4</f>
        <v/>
      </c>
      <c r="B12" s="18">
        <f>'💾 RAW_Datastores'!B4</f>
        <v/>
      </c>
      <c r="C12" s="18">
        <f>'💾 RAW_Datastores'!C4</f>
        <v/>
      </c>
      <c r="D12" s="19">
        <f>'💾 RAW_Datastores'!D4</f>
        <v/>
      </c>
      <c r="E12" s="19">
        <f>'💾 RAW_Datastores'!E4</f>
        <v/>
      </c>
      <c r="F12" s="19">
        <f>D12-E12</f>
        <v/>
      </c>
      <c r="G12" s="20">
        <f>IFERROR(F12/D12,0)</f>
        <v/>
      </c>
      <c r="H12" s="18">
        <f>IF(G12&lt;0.7,"✅ OK",IF(G12&lt;0.85,"⚠️ Warning","🔴 Critical"))</f>
        <v/>
      </c>
      <c r="I12" s="19">
        <f>'💾 RAW_Datastores'!H4</f>
        <v/>
      </c>
      <c r="J12" s="20">
        <f>IFERROR(I12/D12,0)</f>
        <v/>
      </c>
      <c r="K12" s="19">
        <f>'💾 RAW_Datastores'!K4</f>
        <v/>
      </c>
      <c r="L12" s="18">
        <f>IF(J12&gt;1.5,"🔴 Sur-prov élevé",IF(J12&gt;1.2,"⚠️ Surveiller","✅ Normal"))</f>
        <v/>
      </c>
    </row>
    <row r="13" ht="18" customHeight="1">
      <c r="A13" s="15">
        <f>'💾 RAW_Datastores'!A5</f>
        <v/>
      </c>
      <c r="B13" s="15">
        <f>'💾 RAW_Datastores'!B5</f>
        <v/>
      </c>
      <c r="C13" s="15">
        <f>'💾 RAW_Datastores'!C5</f>
        <v/>
      </c>
      <c r="D13" s="16">
        <f>'💾 RAW_Datastores'!D5</f>
        <v/>
      </c>
      <c r="E13" s="16">
        <f>'💾 RAW_Datastores'!E5</f>
        <v/>
      </c>
      <c r="F13" s="16">
        <f>D13-E13</f>
        <v/>
      </c>
      <c r="G13" s="17">
        <f>IFERROR(F13/D13,0)</f>
        <v/>
      </c>
      <c r="H13" s="15">
        <f>IF(G13&lt;0.7,"✅ OK",IF(G13&lt;0.85,"⚠️ Warning","🔴 Critical"))</f>
        <v/>
      </c>
      <c r="I13" s="16">
        <f>'💾 RAW_Datastores'!H5</f>
        <v/>
      </c>
      <c r="J13" s="17">
        <f>IFERROR(I13/D13,0)</f>
        <v/>
      </c>
      <c r="K13" s="16">
        <f>'💾 RAW_Datastores'!K5</f>
        <v/>
      </c>
      <c r="L13" s="15">
        <f>IF(J13&gt;1.5,"🔴 Sur-prov élevé",IF(J13&gt;1.2,"⚠️ Surveiller","✅ Normal"))</f>
        <v/>
      </c>
    </row>
    <row r="14" ht="18" customHeight="1">
      <c r="A14" s="18">
        <f>'💾 RAW_Datastores'!A6</f>
        <v/>
      </c>
      <c r="B14" s="18">
        <f>'💾 RAW_Datastores'!B6</f>
        <v/>
      </c>
      <c r="C14" s="18">
        <f>'💾 RAW_Datastores'!C6</f>
        <v/>
      </c>
      <c r="D14" s="19">
        <f>'💾 RAW_Datastores'!D6</f>
        <v/>
      </c>
      <c r="E14" s="19">
        <f>'💾 RAW_Datastores'!E6</f>
        <v/>
      </c>
      <c r="F14" s="19">
        <f>D14-E14</f>
        <v/>
      </c>
      <c r="G14" s="20">
        <f>IFERROR(F14/D14,0)</f>
        <v/>
      </c>
      <c r="H14" s="18">
        <f>IF(G14&lt;0.7,"✅ OK",IF(G14&lt;0.85,"⚠️ Warning","🔴 Critical"))</f>
        <v/>
      </c>
      <c r="I14" s="19">
        <f>'💾 RAW_Datastores'!H6</f>
        <v/>
      </c>
      <c r="J14" s="20">
        <f>IFERROR(I14/D14,0)</f>
        <v/>
      </c>
      <c r="K14" s="19">
        <f>'💾 RAW_Datastores'!K6</f>
        <v/>
      </c>
      <c r="L14" s="18">
        <f>IF(J14&gt;1.5,"🔴 Sur-prov élevé",IF(J14&gt;1.2,"⚠️ Surveiller","✅ Normal"))</f>
        <v/>
      </c>
    </row>
    <row r="15" ht="18" customHeight="1">
      <c r="A15" s="15">
        <f>'💾 RAW_Datastores'!A7</f>
        <v/>
      </c>
      <c r="B15" s="15">
        <f>'💾 RAW_Datastores'!B7</f>
        <v/>
      </c>
      <c r="C15" s="15">
        <f>'💾 RAW_Datastores'!C7</f>
        <v/>
      </c>
      <c r="D15" s="16">
        <f>'💾 RAW_Datastores'!D7</f>
        <v/>
      </c>
      <c r="E15" s="16">
        <f>'💾 RAW_Datastores'!E7</f>
        <v/>
      </c>
      <c r="F15" s="16">
        <f>D15-E15</f>
        <v/>
      </c>
      <c r="G15" s="17">
        <f>IFERROR(F15/D15,0)</f>
        <v/>
      </c>
      <c r="H15" s="15">
        <f>IF(G15&lt;0.7,"✅ OK",IF(G15&lt;0.85,"⚠️ Warning","🔴 Critical"))</f>
        <v/>
      </c>
      <c r="I15" s="16">
        <f>'💾 RAW_Datastores'!H7</f>
        <v/>
      </c>
      <c r="J15" s="17">
        <f>IFERROR(I15/D15,0)</f>
        <v/>
      </c>
      <c r="K15" s="16">
        <f>'💾 RAW_Datastores'!K7</f>
        <v/>
      </c>
      <c r="L15" s="15">
        <f>IF(J15&gt;1.5,"🔴 Sur-prov élevé",IF(J15&gt;1.2,"⚠️ Surveiller","✅ Normal"))</f>
        <v/>
      </c>
    </row>
    <row r="16" ht="18" customHeight="1">
      <c r="A16" s="18">
        <f>'💾 RAW_Datastores'!A8</f>
        <v/>
      </c>
      <c r="B16" s="18">
        <f>'💾 RAW_Datastores'!B8</f>
        <v/>
      </c>
      <c r="C16" s="18">
        <f>'💾 RAW_Datastores'!C8</f>
        <v/>
      </c>
      <c r="D16" s="19">
        <f>'💾 RAW_Datastores'!D8</f>
        <v/>
      </c>
      <c r="E16" s="19">
        <f>'💾 RAW_Datastores'!E8</f>
        <v/>
      </c>
      <c r="F16" s="19">
        <f>D16-E16</f>
        <v/>
      </c>
      <c r="G16" s="20">
        <f>IFERROR(F16/D16,0)</f>
        <v/>
      </c>
      <c r="H16" s="18">
        <f>IF(G16&lt;0.7,"✅ OK",IF(G16&lt;0.85,"⚠️ Warning","🔴 Critical"))</f>
        <v/>
      </c>
      <c r="I16" s="19">
        <f>'💾 RAW_Datastores'!H8</f>
        <v/>
      </c>
      <c r="J16" s="20">
        <f>IFERROR(I16/D16,0)</f>
        <v/>
      </c>
      <c r="K16" s="19">
        <f>'💾 RAW_Datastores'!K8</f>
        <v/>
      </c>
      <c r="L16" s="18">
        <f>IF(J16&gt;1.5,"🔴 Sur-prov élevé",IF(J16&gt;1.2,"⚠️ Surveiller","✅ Normal"))</f>
        <v/>
      </c>
    </row>
    <row r="17" ht="18" customHeight="1">
      <c r="A17" s="15">
        <f>'💾 RAW_Datastores'!A9</f>
        <v/>
      </c>
      <c r="B17" s="15">
        <f>'💾 RAW_Datastores'!B9</f>
        <v/>
      </c>
      <c r="C17" s="15">
        <f>'💾 RAW_Datastores'!C9</f>
        <v/>
      </c>
      <c r="D17" s="16">
        <f>'💾 RAW_Datastores'!D9</f>
        <v/>
      </c>
      <c r="E17" s="16">
        <f>'💾 RAW_Datastores'!E9</f>
        <v/>
      </c>
      <c r="F17" s="16">
        <f>D17-E17</f>
        <v/>
      </c>
      <c r="G17" s="17">
        <f>IFERROR(F17/D17,0)</f>
        <v/>
      </c>
      <c r="H17" s="15">
        <f>IF(G17&lt;0.7,"✅ OK",IF(G17&lt;0.85,"⚠️ Warning","🔴 Critical"))</f>
        <v/>
      </c>
      <c r="I17" s="16">
        <f>'💾 RAW_Datastores'!H9</f>
        <v/>
      </c>
      <c r="J17" s="17">
        <f>IFERROR(I17/D17,0)</f>
        <v/>
      </c>
      <c r="K17" s="16">
        <f>'💾 RAW_Datastores'!K9</f>
        <v/>
      </c>
      <c r="L17" s="15">
        <f>IF(J17&gt;1.5,"🔴 Sur-prov élevé",IF(J17&gt;1.2,"⚠️ Surveiller","✅ Normal"))</f>
        <v/>
      </c>
    </row>
    <row r="18" ht="18" customHeight="1">
      <c r="A18" s="18">
        <f>'💾 RAW_Datastores'!A10</f>
        <v/>
      </c>
      <c r="B18" s="18">
        <f>'💾 RAW_Datastores'!B10</f>
        <v/>
      </c>
      <c r="C18" s="18">
        <f>'💾 RAW_Datastores'!C10</f>
        <v/>
      </c>
      <c r="D18" s="19">
        <f>'💾 RAW_Datastores'!D10</f>
        <v/>
      </c>
      <c r="E18" s="19">
        <f>'💾 RAW_Datastores'!E10</f>
        <v/>
      </c>
      <c r="F18" s="19">
        <f>D18-E18</f>
        <v/>
      </c>
      <c r="G18" s="20">
        <f>IFERROR(F18/D18,0)</f>
        <v/>
      </c>
      <c r="H18" s="18">
        <f>IF(G18&lt;0.7,"✅ OK",IF(G18&lt;0.85,"⚠️ Warning","🔴 Critical"))</f>
        <v/>
      </c>
      <c r="I18" s="19">
        <f>'💾 RAW_Datastores'!H10</f>
        <v/>
      </c>
      <c r="J18" s="20">
        <f>IFERROR(I18/D18,0)</f>
        <v/>
      </c>
      <c r="K18" s="19">
        <f>'💾 RAW_Datastores'!K10</f>
        <v/>
      </c>
      <c r="L18" s="18">
        <f>IF(J18&gt;1.5,"🔴 Sur-prov élevé",IF(J18&gt;1.2,"⚠️ Surveiller","✅ Normal"))</f>
        <v/>
      </c>
    </row>
    <row r="19" ht="20" customHeight="1">
      <c r="A19" s="43" t="inlineStr">
        <is>
          <t>TOTAUX</t>
        </is>
      </c>
      <c r="B19" s="43" t="n"/>
      <c r="C19" s="43" t="n"/>
      <c r="D19" s="44">
        <f>SUM(D11:D18)</f>
        <v/>
      </c>
      <c r="E19" s="44">
        <f>SUM(E11:E18)</f>
        <v/>
      </c>
      <c r="F19" s="44">
        <f>SUM(F11:F18)</f>
        <v/>
      </c>
      <c r="G19" s="45">
        <f>IFERROR(SUM(F11:F18)/SUM(D11:D18),0)</f>
        <v/>
      </c>
      <c r="H19" s="43" t="n"/>
      <c r="I19" s="44">
        <f>SUM(I11:I18)</f>
        <v/>
      </c>
      <c r="J19" s="43" t="n"/>
      <c r="K19" s="44">
        <f>SUM(K11:K18)</f>
        <v/>
      </c>
      <c r="L19" s="43" t="n"/>
    </row>
    <row r="21" ht="20" customHeight="1">
      <c r="A21" s="30" t="inlineStr">
        <is>
          <t xml:space="preserve">  📊  GRAPHIQUES STOCKAGE</t>
        </is>
      </c>
    </row>
  </sheetData>
  <mergeCells count="20">
    <mergeCell ref="J5:K5"/>
    <mergeCell ref="A4:P4"/>
    <mergeCell ref="M5:N5"/>
    <mergeCell ref="A1:Q1"/>
    <mergeCell ref="A6:B6"/>
    <mergeCell ref="D6:E6"/>
    <mergeCell ref="A7:B7"/>
    <mergeCell ref="G7:H7"/>
    <mergeCell ref="J6:K6"/>
    <mergeCell ref="A9:P9"/>
    <mergeCell ref="G6:H6"/>
    <mergeCell ref="M7:N7"/>
    <mergeCell ref="D7:E7"/>
    <mergeCell ref="M6:N6"/>
    <mergeCell ref="J7:K7"/>
    <mergeCell ref="A5:B5"/>
    <mergeCell ref="G5:H5"/>
    <mergeCell ref="A2:Q2"/>
    <mergeCell ref="D5:E5"/>
    <mergeCell ref="A21:P2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B1FA2"/>
    <outlinePr summaryBelow="1" summaryRight="1"/>
    <pageSetUpPr/>
  </sheetPr>
  <dimension ref="A1:S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40" customHeight="1">
      <c r="A1" s="28" t="inlineStr">
        <is>
          <t>🔮  PROJECTIONS DE CAPACITÉ – 12 MOIS</t>
        </is>
      </c>
    </row>
    <row r="3" ht="20" customHeight="1">
      <c r="A3" s="30" t="inlineStr">
        <is>
          <t xml:space="preserve">  ⚙️  PARAMÈTRES DE PROJECTION  (cellules bleues = modifiables)</t>
        </is>
      </c>
    </row>
    <row r="4" ht="18" customHeight="1">
      <c r="A4" s="10" t="inlineStr">
        <is>
          <t>Taux de croissance VM mensuel</t>
        </is>
      </c>
      <c r="B4" s="50" t="n">
        <v>0.05</v>
      </c>
      <c r="C4" s="51" t="inlineStr">
        <is>
          <t>← 5% par mois</t>
        </is>
      </c>
    </row>
    <row r="5" ht="18" customHeight="1">
      <c r="A5" s="10" t="inlineStr">
        <is>
          <t>Taux de croissance CPU mensuel</t>
        </is>
      </c>
      <c r="B5" s="50" t="n">
        <v>0.04</v>
      </c>
      <c r="C5" s="51" t="inlineStr">
        <is>
          <t>← 4% usage CPU/mois</t>
        </is>
      </c>
    </row>
    <row r="6" ht="18" customHeight="1">
      <c r="A6" s="10" t="inlineStr">
        <is>
          <t>Taux de croissance RAM mensuel</t>
        </is>
      </c>
      <c r="B6" s="50" t="n">
        <v>0.04</v>
      </c>
      <c r="C6" s="51" t="inlineStr">
        <is>
          <t>← 4% usage RAM/mois</t>
        </is>
      </c>
    </row>
    <row r="7" ht="18" customHeight="1">
      <c r="A7" s="10" t="inlineStr">
        <is>
          <t>Taux de croissance stockage</t>
        </is>
      </c>
      <c r="B7" s="50" t="n">
        <v>0.06</v>
      </c>
      <c r="C7" s="51" t="inlineStr">
        <is>
          <t>← 6% storage/mois</t>
        </is>
      </c>
    </row>
    <row r="8" ht="18" customHeight="1">
      <c r="A8" s="10" t="inlineStr">
        <is>
          <t>Seuil alerte CPU (%)</t>
        </is>
      </c>
      <c r="B8" s="50" t="n">
        <v>0.8</v>
      </c>
      <c r="C8" s="51" t="inlineStr">
        <is>
          <t>← Seuil critique CPU</t>
        </is>
      </c>
    </row>
    <row r="9" ht="18" customHeight="1">
      <c r="A9" s="10" t="inlineStr">
        <is>
          <t>Seuil alerte RAM (%)</t>
        </is>
      </c>
      <c r="B9" s="50" t="n">
        <v>0.85</v>
      </c>
      <c r="C9" s="51" t="inlineStr">
        <is>
          <t>← Seuil critique RAM</t>
        </is>
      </c>
    </row>
    <row r="10" ht="18" customHeight="1">
      <c r="A10" s="10" t="inlineStr">
        <is>
          <t>Seuil alerte Stockage (%)</t>
        </is>
      </c>
      <c r="B10" s="50" t="n">
        <v>0.85</v>
      </c>
      <c r="C10" s="51" t="inlineStr">
        <is>
          <t>← Seuil critique Stg</t>
        </is>
      </c>
    </row>
    <row r="11" ht="18" customHeight="1">
      <c r="A11" s="10" t="inlineStr">
        <is>
          <t>Buffer de sécurité (%)</t>
        </is>
      </c>
      <c r="B11" s="50" t="n">
        <v>0.1</v>
      </c>
      <c r="C11" s="51" t="inlineStr">
        <is>
          <t>← Marge de sécurité</t>
        </is>
      </c>
    </row>
    <row r="13" ht="20" customHeight="1">
      <c r="A13" s="30" t="inlineStr">
        <is>
          <t xml:space="preserve">  📅  PROJECTION MENSUELLE – 12 MOIS</t>
        </is>
      </c>
    </row>
    <row r="14" ht="35" customHeight="1">
      <c r="A14" s="43" t="inlineStr">
        <is>
          <t>Indicateur</t>
        </is>
      </c>
      <c r="B14" s="52" t="inlineStr">
        <is>
          <t>M0
(Actuel)</t>
        </is>
      </c>
      <c r="C14" s="53" t="inlineStr">
        <is>
          <t>M+1</t>
        </is>
      </c>
      <c r="D14" s="53" t="inlineStr">
        <is>
          <t>M+2</t>
        </is>
      </c>
      <c r="E14" s="53" t="inlineStr">
        <is>
          <t>M+3</t>
        </is>
      </c>
      <c r="F14" s="53" t="inlineStr">
        <is>
          <t>M+4</t>
        </is>
      </c>
      <c r="G14" s="53" t="inlineStr">
        <is>
          <t>M+5</t>
        </is>
      </c>
      <c r="H14" s="53" t="inlineStr">
        <is>
          <t>M+6</t>
        </is>
      </c>
      <c r="I14" s="53" t="inlineStr">
        <is>
          <t>M+7</t>
        </is>
      </c>
      <c r="J14" s="53" t="inlineStr">
        <is>
          <t>M+8</t>
        </is>
      </c>
      <c r="K14" s="53" t="inlineStr">
        <is>
          <t>M+9</t>
        </is>
      </c>
      <c r="L14" s="53" t="inlineStr">
        <is>
          <t>M+10</t>
        </is>
      </c>
      <c r="M14" s="53" t="inlineStr">
        <is>
          <t>M+11</t>
        </is>
      </c>
      <c r="N14" s="53" t="inlineStr">
        <is>
          <t>M+12</t>
        </is>
      </c>
    </row>
    <row r="15" ht="20" customHeight="1">
      <c r="A15" s="54" t="inlineStr">
        <is>
          <t>Nb VMs</t>
        </is>
      </c>
      <c r="B15" s="16">
        <f>COUNTA('⚡ RAW_VMs'!A3:A200)-COUNTBLANK('⚡ RAW_VMs'!A3:A200)</f>
        <v/>
      </c>
      <c r="C15" s="16">
        <f>B15*(1+B4)</f>
        <v/>
      </c>
      <c r="D15" s="16">
        <f>C15*(1+B4)</f>
        <v/>
      </c>
      <c r="E15" s="16">
        <f>D15*(1+B4)</f>
        <v/>
      </c>
      <c r="F15" s="16">
        <f>E15*(1+B4)</f>
        <v/>
      </c>
      <c r="G15" s="16">
        <f>F15*(1+B4)</f>
        <v/>
      </c>
      <c r="H15" s="16">
        <f>G15*(1+B4)</f>
        <v/>
      </c>
      <c r="I15" s="16">
        <f>H15*(1+B4)</f>
        <v/>
      </c>
      <c r="J15" s="16">
        <f>I15*(1+B4)</f>
        <v/>
      </c>
      <c r="K15" s="16">
        <f>J15*(1+B4)</f>
        <v/>
      </c>
      <c r="L15" s="16">
        <f>K15*(1+B4)</f>
        <v/>
      </c>
      <c r="M15" s="16">
        <f>L15*(1+B4)</f>
        <v/>
      </c>
      <c r="N15" s="16">
        <f>M15*(1+B4)</f>
        <v/>
      </c>
    </row>
    <row r="16" ht="20" customHeight="1">
      <c r="A16" s="54" t="inlineStr">
        <is>
          <t>CPU Usage (MHz)</t>
        </is>
      </c>
      <c r="B16" s="19">
        <f>SUM('🖥️ RAW_Hosts'!F3:F100)</f>
        <v/>
      </c>
      <c r="C16" s="19">
        <f>B16*(1+B5)</f>
        <v/>
      </c>
      <c r="D16" s="19">
        <f>C16*(1+B5)</f>
        <v/>
      </c>
      <c r="E16" s="19">
        <f>D16*(1+B5)</f>
        <v/>
      </c>
      <c r="F16" s="19">
        <f>E16*(1+B5)</f>
        <v/>
      </c>
      <c r="G16" s="19">
        <f>F16*(1+B5)</f>
        <v/>
      </c>
      <c r="H16" s="19">
        <f>G16*(1+B5)</f>
        <v/>
      </c>
      <c r="I16" s="19">
        <f>H16*(1+B5)</f>
        <v/>
      </c>
      <c r="J16" s="19">
        <f>I16*(1+B5)</f>
        <v/>
      </c>
      <c r="K16" s="19">
        <f>J16*(1+B5)</f>
        <v/>
      </c>
      <c r="L16" s="19">
        <f>K16*(1+B5)</f>
        <v/>
      </c>
      <c r="M16" s="19">
        <f>L16*(1+B5)</f>
        <v/>
      </c>
      <c r="N16" s="19">
        <f>M16*(1+B5)</f>
        <v/>
      </c>
    </row>
    <row r="17" ht="20" customHeight="1">
      <c r="A17" s="54" t="inlineStr">
        <is>
          <t>CPU Total (MHz)</t>
        </is>
      </c>
      <c r="B17" s="16">
        <f>SUM('🖥️ RAW_Hosts'!G3:G100)</f>
        <v/>
      </c>
      <c r="C17" s="16">
        <f>B17</f>
        <v/>
      </c>
      <c r="D17" s="16">
        <f>C17</f>
        <v/>
      </c>
      <c r="E17" s="16">
        <f>D17</f>
        <v/>
      </c>
      <c r="F17" s="16">
        <f>E17</f>
        <v/>
      </c>
      <c r="G17" s="16">
        <f>F17</f>
        <v/>
      </c>
      <c r="H17" s="16">
        <f>G17</f>
        <v/>
      </c>
      <c r="I17" s="16">
        <f>H17</f>
        <v/>
      </c>
      <c r="J17" s="16">
        <f>I17</f>
        <v/>
      </c>
      <c r="K17" s="16">
        <f>J17</f>
        <v/>
      </c>
      <c r="L17" s="16">
        <f>K17</f>
        <v/>
      </c>
      <c r="M17" s="16">
        <f>L17</f>
        <v/>
      </c>
      <c r="N17" s="16">
        <f>M17</f>
        <v/>
      </c>
    </row>
    <row r="18" ht="20" customHeight="1">
      <c r="A18" s="54" t="inlineStr">
        <is>
          <t>CPU Usage %</t>
        </is>
      </c>
      <c r="B18" s="20">
        <f>IFERROR(B16/B17,0)</f>
        <v/>
      </c>
      <c r="C18" s="20">
        <f>IFERROR(C16/C17,0)</f>
        <v/>
      </c>
      <c r="D18" s="20">
        <f>IFERROR(D16/D17,0)</f>
        <v/>
      </c>
      <c r="E18" s="20">
        <f>IFERROR(E16/E17,0)</f>
        <v/>
      </c>
      <c r="F18" s="20">
        <f>IFERROR(F16/F17,0)</f>
        <v/>
      </c>
      <c r="G18" s="20">
        <f>IFERROR(G16/G17,0)</f>
        <v/>
      </c>
      <c r="H18" s="20">
        <f>IFERROR(H16/H17,0)</f>
        <v/>
      </c>
      <c r="I18" s="20">
        <f>IFERROR(I16/I17,0)</f>
        <v/>
      </c>
      <c r="J18" s="20">
        <f>IFERROR(J16/J17,0)</f>
        <v/>
      </c>
      <c r="K18" s="20">
        <f>IFERROR(K16/K17,0)</f>
        <v/>
      </c>
      <c r="L18" s="20">
        <f>IFERROR(L16/L17,0)</f>
        <v/>
      </c>
      <c r="M18" s="20">
        <f>IFERROR(M16/M17,0)</f>
        <v/>
      </c>
      <c r="N18" s="20">
        <f>IFERROR(N16/N17,0)</f>
        <v/>
      </c>
    </row>
    <row r="19" ht="20" customHeight="1">
      <c r="A19" s="54" t="inlineStr">
        <is>
          <t>Statut CPU</t>
        </is>
      </c>
      <c r="B19" s="15">
        <f>IF(B18&lt;B8,"✅ OK",IF(B18&lt;0.95,"⚠️ Warning","🔴 Critique"))</f>
        <v/>
      </c>
      <c r="C19" s="15">
        <f>IF(C18&lt;B8,"✅ OK",IF(C18&lt;0.95,"⚠️ Warning","🔴 Critique"))</f>
        <v/>
      </c>
      <c r="D19" s="15">
        <f>IF(D18&lt;B8,"✅ OK",IF(D18&lt;0.95,"⚠️ Warning","🔴 Critique"))</f>
        <v/>
      </c>
      <c r="E19" s="15">
        <f>IF(E18&lt;B8,"✅ OK",IF(E18&lt;0.95,"⚠️ Warning","🔴 Critique"))</f>
        <v/>
      </c>
      <c r="F19" s="15">
        <f>IF(F18&lt;B8,"✅ OK",IF(F18&lt;0.95,"⚠️ Warning","🔴 Critique"))</f>
        <v/>
      </c>
      <c r="G19" s="15">
        <f>IF(G18&lt;B8,"✅ OK",IF(G18&lt;0.95,"⚠️ Warning","🔴 Critique"))</f>
        <v/>
      </c>
      <c r="H19" s="15">
        <f>IF(H18&lt;B8,"✅ OK",IF(H18&lt;0.95,"⚠️ Warning","🔴 Critique"))</f>
        <v/>
      </c>
      <c r="I19" s="15">
        <f>IF(I18&lt;B8,"✅ OK",IF(I18&lt;0.95,"⚠️ Warning","🔴 Critique"))</f>
        <v/>
      </c>
      <c r="J19" s="15">
        <f>IF(J18&lt;B8,"✅ OK",IF(J18&lt;0.95,"⚠️ Warning","🔴 Critique"))</f>
        <v/>
      </c>
      <c r="K19" s="15">
        <f>IF(K18&lt;B8,"✅ OK",IF(K18&lt;0.95,"⚠️ Warning","🔴 Critique"))</f>
        <v/>
      </c>
      <c r="L19" s="15">
        <f>IF(L18&lt;B8,"✅ OK",IF(L18&lt;0.95,"⚠️ Warning","🔴 Critique"))</f>
        <v/>
      </c>
      <c r="M19" s="15">
        <f>IF(M18&lt;B8,"✅ OK",IF(M18&lt;0.95,"⚠️ Warning","🔴 Critique"))</f>
        <v/>
      </c>
      <c r="N19" s="15">
        <f>IF(N18&lt;B8,"✅ OK",IF(N18&lt;0.95,"⚠️ Warning","🔴 Critique"))</f>
        <v/>
      </c>
    </row>
    <row r="20" ht="20" customHeight="1">
      <c r="A20" s="54" t="inlineStr">
        <is>
          <t>RAM Usage (MB)</t>
        </is>
      </c>
      <c r="B20" s="19">
        <f>SUM('🖥️ RAW_Hosts'!I3:I100)</f>
        <v/>
      </c>
      <c r="C20" s="19">
        <f>B20*(1+B6)</f>
        <v/>
      </c>
      <c r="D20" s="19">
        <f>C20*(1+B6)</f>
        <v/>
      </c>
      <c r="E20" s="19">
        <f>D20*(1+B6)</f>
        <v/>
      </c>
      <c r="F20" s="19">
        <f>E20*(1+B6)</f>
        <v/>
      </c>
      <c r="G20" s="19">
        <f>F20*(1+B6)</f>
        <v/>
      </c>
      <c r="H20" s="19">
        <f>G20*(1+B6)</f>
        <v/>
      </c>
      <c r="I20" s="19">
        <f>H20*(1+B6)</f>
        <v/>
      </c>
      <c r="J20" s="19">
        <f>I20*(1+B6)</f>
        <v/>
      </c>
      <c r="K20" s="19">
        <f>J20*(1+B6)</f>
        <v/>
      </c>
      <c r="L20" s="19">
        <f>K20*(1+B6)</f>
        <v/>
      </c>
      <c r="M20" s="19">
        <f>L20*(1+B6)</f>
        <v/>
      </c>
      <c r="N20" s="19">
        <f>M20*(1+B6)</f>
        <v/>
      </c>
    </row>
    <row r="21" ht="20" customHeight="1">
      <c r="A21" s="54" t="inlineStr">
        <is>
          <t>RAM Total (MB)</t>
        </is>
      </c>
      <c r="B21" s="16">
        <f>SUM('🖥️ RAW_Hosts'!J3:J100)</f>
        <v/>
      </c>
      <c r="C21" s="16">
        <f>B21</f>
        <v/>
      </c>
      <c r="D21" s="16">
        <f>C21</f>
        <v/>
      </c>
      <c r="E21" s="16">
        <f>D21</f>
        <v/>
      </c>
      <c r="F21" s="16">
        <f>E21</f>
        <v/>
      </c>
      <c r="G21" s="16">
        <f>F21</f>
        <v/>
      </c>
      <c r="H21" s="16">
        <f>G21</f>
        <v/>
      </c>
      <c r="I21" s="16">
        <f>H21</f>
        <v/>
      </c>
      <c r="J21" s="16">
        <f>I21</f>
        <v/>
      </c>
      <c r="K21" s="16">
        <f>J21</f>
        <v/>
      </c>
      <c r="L21" s="16">
        <f>K21</f>
        <v/>
      </c>
      <c r="M21" s="16">
        <f>L21</f>
        <v/>
      </c>
      <c r="N21" s="16">
        <f>M21</f>
        <v/>
      </c>
    </row>
    <row r="22" ht="20" customHeight="1">
      <c r="A22" s="54" t="inlineStr">
        <is>
          <t>RAM Usage %</t>
        </is>
      </c>
      <c r="B22" s="20">
        <f>IFERROR(B20/B21,0)</f>
        <v/>
      </c>
      <c r="C22" s="20">
        <f>IFERROR(C20/C21,0)</f>
        <v/>
      </c>
      <c r="D22" s="20">
        <f>IFERROR(D20/D21,0)</f>
        <v/>
      </c>
      <c r="E22" s="20">
        <f>IFERROR(E20/E21,0)</f>
        <v/>
      </c>
      <c r="F22" s="20">
        <f>IFERROR(F20/F21,0)</f>
        <v/>
      </c>
      <c r="G22" s="20">
        <f>IFERROR(G20/G21,0)</f>
        <v/>
      </c>
      <c r="H22" s="20">
        <f>IFERROR(H20/H21,0)</f>
        <v/>
      </c>
      <c r="I22" s="20">
        <f>IFERROR(I20/I21,0)</f>
        <v/>
      </c>
      <c r="J22" s="20">
        <f>IFERROR(J20/J21,0)</f>
        <v/>
      </c>
      <c r="K22" s="20">
        <f>IFERROR(K20/K21,0)</f>
        <v/>
      </c>
      <c r="L22" s="20">
        <f>IFERROR(L20/L21,0)</f>
        <v/>
      </c>
      <c r="M22" s="20">
        <f>IFERROR(M20/M21,0)</f>
        <v/>
      </c>
      <c r="N22" s="20">
        <f>IFERROR(N20/N21,0)</f>
        <v/>
      </c>
    </row>
    <row r="23" ht="20" customHeight="1">
      <c r="A23" s="54" t="inlineStr">
        <is>
          <t>Statut RAM</t>
        </is>
      </c>
      <c r="B23" s="15">
        <f>IF(B22&lt;B9,"✅ OK",IF(B22&lt;0.95,"⚠️ Warning","🔴 Critique"))</f>
        <v/>
      </c>
      <c r="C23" s="15">
        <f>IF(C22&lt;B9,"✅ OK",IF(C22&lt;0.95,"⚠️ Warning","🔴 Critique"))</f>
        <v/>
      </c>
      <c r="D23" s="15">
        <f>IF(D22&lt;B9,"✅ OK",IF(D22&lt;0.95,"⚠️ Warning","🔴 Critique"))</f>
        <v/>
      </c>
      <c r="E23" s="15">
        <f>IF(E22&lt;B9,"✅ OK",IF(E22&lt;0.95,"⚠️ Warning","🔴 Critique"))</f>
        <v/>
      </c>
      <c r="F23" s="15">
        <f>IF(F22&lt;B9,"✅ OK",IF(F22&lt;0.95,"⚠️ Warning","🔴 Critique"))</f>
        <v/>
      </c>
      <c r="G23" s="15">
        <f>IF(G22&lt;B9,"✅ OK",IF(G22&lt;0.95,"⚠️ Warning","🔴 Critique"))</f>
        <v/>
      </c>
      <c r="H23" s="15">
        <f>IF(H22&lt;B9,"✅ OK",IF(H22&lt;0.95,"⚠️ Warning","🔴 Critique"))</f>
        <v/>
      </c>
      <c r="I23" s="15">
        <f>IF(I22&lt;B9,"✅ OK",IF(I22&lt;0.95,"⚠️ Warning","🔴 Critique"))</f>
        <v/>
      </c>
      <c r="J23" s="15">
        <f>IF(J22&lt;B9,"✅ OK",IF(J22&lt;0.95,"⚠️ Warning","🔴 Critique"))</f>
        <v/>
      </c>
      <c r="K23" s="15">
        <f>IF(K22&lt;B9,"✅ OK",IF(K22&lt;0.95,"⚠️ Warning","🔴 Critique"))</f>
        <v/>
      </c>
      <c r="L23" s="15">
        <f>IF(L22&lt;B9,"✅ OK",IF(L22&lt;0.95,"⚠️ Warning","🔴 Critique"))</f>
        <v/>
      </c>
      <c r="M23" s="15">
        <f>IF(M22&lt;B9,"✅ OK",IF(M22&lt;0.95,"⚠️ Warning","🔴 Critique"))</f>
        <v/>
      </c>
      <c r="N23" s="15">
        <f>IF(N22&lt;B9,"✅ OK",IF(N22&lt;0.95,"⚠️ Warning","🔴 Critique"))</f>
        <v/>
      </c>
    </row>
    <row r="24" ht="20" customHeight="1">
      <c r="A24" s="54" t="inlineStr">
        <is>
          <t>Stockage Utilisé (GB)</t>
        </is>
      </c>
      <c r="B24" s="19">
        <f>SUM('💾 RAW_Datastores'!F3:F100)</f>
        <v/>
      </c>
      <c r="C24" s="19">
        <f>B24*(1+B7)</f>
        <v/>
      </c>
      <c r="D24" s="19">
        <f>C24*(1+B7)</f>
        <v/>
      </c>
      <c r="E24" s="19">
        <f>D24*(1+B7)</f>
        <v/>
      </c>
      <c r="F24" s="19">
        <f>E24*(1+B7)</f>
        <v/>
      </c>
      <c r="G24" s="19">
        <f>F24*(1+B7)</f>
        <v/>
      </c>
      <c r="H24" s="19">
        <f>G24*(1+B7)</f>
        <v/>
      </c>
      <c r="I24" s="19">
        <f>H24*(1+B7)</f>
        <v/>
      </c>
      <c r="J24" s="19">
        <f>I24*(1+B7)</f>
        <v/>
      </c>
      <c r="K24" s="19">
        <f>J24*(1+B7)</f>
        <v/>
      </c>
      <c r="L24" s="19">
        <f>K24*(1+B7)</f>
        <v/>
      </c>
      <c r="M24" s="19">
        <f>L24*(1+B7)</f>
        <v/>
      </c>
      <c r="N24" s="19">
        <f>M24*(1+B7)</f>
        <v/>
      </c>
    </row>
    <row r="25" ht="20" customHeight="1">
      <c r="A25" s="54" t="inlineStr">
        <is>
          <t>Stockage Total (GB)</t>
        </is>
      </c>
      <c r="B25" s="16">
        <f>SUM('💾 RAW_Datastores'!D3:D100)</f>
        <v/>
      </c>
      <c r="C25" s="16">
        <f>B25</f>
        <v/>
      </c>
      <c r="D25" s="16">
        <f>C25</f>
        <v/>
      </c>
      <c r="E25" s="16">
        <f>D25</f>
        <v/>
      </c>
      <c r="F25" s="16">
        <f>E25</f>
        <v/>
      </c>
      <c r="G25" s="16">
        <f>F25</f>
        <v/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</row>
    <row r="26" ht="20" customHeight="1">
      <c r="A26" s="54" t="inlineStr">
        <is>
          <t>Stockage Usage %</t>
        </is>
      </c>
      <c r="B26" s="20">
        <f>IFERROR(B24/B25,0)</f>
        <v/>
      </c>
      <c r="C26" s="20">
        <f>IFERROR(C24/C25,0)</f>
        <v/>
      </c>
      <c r="D26" s="20">
        <f>IFERROR(D24/D25,0)</f>
        <v/>
      </c>
      <c r="E26" s="20">
        <f>IFERROR(E24/E25,0)</f>
        <v/>
      </c>
      <c r="F26" s="20">
        <f>IFERROR(F24/F25,0)</f>
        <v/>
      </c>
      <c r="G26" s="20">
        <f>IFERROR(G24/G25,0)</f>
        <v/>
      </c>
      <c r="H26" s="20">
        <f>IFERROR(H24/H25,0)</f>
        <v/>
      </c>
      <c r="I26" s="20">
        <f>IFERROR(I24/I25,0)</f>
        <v/>
      </c>
      <c r="J26" s="20">
        <f>IFERROR(J24/J25,0)</f>
        <v/>
      </c>
      <c r="K26" s="20">
        <f>IFERROR(K24/K25,0)</f>
        <v/>
      </c>
      <c r="L26" s="20">
        <f>IFERROR(L24/L25,0)</f>
        <v/>
      </c>
      <c r="M26" s="20">
        <f>IFERROR(M24/M25,0)</f>
        <v/>
      </c>
      <c r="N26" s="20">
        <f>IFERROR(N24/N25,0)</f>
        <v/>
      </c>
    </row>
    <row r="27" ht="20" customHeight="1">
      <c r="A27" s="54" t="inlineStr">
        <is>
          <t>Statut Stockage</t>
        </is>
      </c>
      <c r="B27" s="15">
        <f>IF(B26&lt;B10,"✅ OK",IF(B26&lt;0.95,"⚠️ Warning","🔴 Critique"))</f>
        <v/>
      </c>
      <c r="C27" s="15">
        <f>IF(C26&lt;B10,"✅ OK",IF(C26&lt;0.95,"⚠️ Warning","🔴 Critique"))</f>
        <v/>
      </c>
      <c r="D27" s="15">
        <f>IF(D26&lt;B10,"✅ OK",IF(D26&lt;0.95,"⚠️ Warning","🔴 Critique"))</f>
        <v/>
      </c>
      <c r="E27" s="15">
        <f>IF(E26&lt;B10,"✅ OK",IF(E26&lt;0.95,"⚠️ Warning","🔴 Critique"))</f>
        <v/>
      </c>
      <c r="F27" s="15">
        <f>IF(F26&lt;B10,"✅ OK",IF(F26&lt;0.95,"⚠️ Warning","🔴 Critique"))</f>
        <v/>
      </c>
      <c r="G27" s="15">
        <f>IF(G26&lt;B10,"✅ OK",IF(G26&lt;0.95,"⚠️ Warning","🔴 Critique"))</f>
        <v/>
      </c>
      <c r="H27" s="15">
        <f>IF(H26&lt;B10,"✅ OK",IF(H26&lt;0.95,"⚠️ Warning","🔴 Critique"))</f>
        <v/>
      </c>
      <c r="I27" s="15">
        <f>IF(I26&lt;B10,"✅ OK",IF(I26&lt;0.95,"⚠️ Warning","🔴 Critique"))</f>
        <v/>
      </c>
      <c r="J27" s="15">
        <f>IF(J26&lt;B10,"✅ OK",IF(J26&lt;0.95,"⚠️ Warning","🔴 Critique"))</f>
        <v/>
      </c>
      <c r="K27" s="15">
        <f>IF(K26&lt;B10,"✅ OK",IF(K26&lt;0.95,"⚠️ Warning","🔴 Critique"))</f>
        <v/>
      </c>
      <c r="L27" s="15">
        <f>IF(L26&lt;B10,"✅ OK",IF(L26&lt;0.95,"⚠️ Warning","🔴 Critique"))</f>
        <v/>
      </c>
      <c r="M27" s="15">
        <f>IF(M26&lt;B10,"✅ OK",IF(M26&lt;0.95,"⚠️ Warning","🔴 Critique"))</f>
        <v/>
      </c>
      <c r="N27" s="15">
        <f>IF(N26&lt;B10,"✅ OK",IF(N26&lt;0.95,"⚠️ Warning","🔴 Critique"))</f>
        <v/>
      </c>
    </row>
    <row r="30" ht="20" customHeight="1">
      <c r="A30" s="30" t="inlineStr">
        <is>
          <t xml:space="preserve">  📈  GRAPHIQUES DE PROJECTION</t>
        </is>
      </c>
    </row>
  </sheetData>
  <mergeCells count="4">
    <mergeCell ref="A3:R3"/>
    <mergeCell ref="A30:R30"/>
    <mergeCell ref="A13:R13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62828"/>
    <outlinePr summaryBelow="1" summaryRight="1"/>
    <pageSetUpPr/>
  </sheetPr>
  <dimension ref="A1:U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5" customHeight="1">
      <c r="A2" s="1" t="n"/>
      <c r="B2" s="55" t="inlineStr">
        <is>
          <t>📈  VMWARE CAPACITY PLANNING DASHBOARD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8" customHeight="1">
      <c r="B4" s="4" t="inlineStr">
        <is>
          <t>Généré le 23 March 2026  |  vCenter 8.x  |  Template v1.0</t>
        </is>
      </c>
    </row>
    <row r="6" ht="20" customHeight="1">
      <c r="B6" s="30" t="inlineStr">
        <is>
          <t xml:space="preserve">  🖥️  COMPUTE</t>
        </is>
      </c>
    </row>
    <row r="7" ht="18" customHeight="1">
      <c r="B7" s="31" t="inlineStr">
        <is>
          <t>Total Hosts</t>
        </is>
      </c>
      <c r="F7" s="31" t="inlineStr">
        <is>
          <t>Total vCPUs</t>
        </is>
      </c>
      <c r="J7" s="33" t="inlineStr">
        <is>
          <t>CPU Usage %</t>
        </is>
      </c>
      <c r="N7" s="32" t="inlineStr">
        <is>
          <t>RAM Totale</t>
        </is>
      </c>
      <c r="R7" s="34" t="inlineStr">
        <is>
          <t>RAM Usage %</t>
        </is>
      </c>
    </row>
    <row r="8" ht="38" customHeight="1">
      <c r="B8" s="35">
        <f>COUNTA('🖥️ RAW_Hosts'!A3:A100)-COUNTBLANK('🖥️ RAW_Hosts'!A3:A100)</f>
        <v/>
      </c>
      <c r="F8" s="35">
        <f>SUM('🖥️ RAW_Hosts'!E3:E100)</f>
        <v/>
      </c>
      <c r="J8" s="37">
        <f>IFERROR(SUM('🖥️ RAW_Hosts'!F3:F100)/SUM('🖥️ RAW_Hosts'!G3:G100),0)</f>
        <v/>
      </c>
      <c r="N8" s="36">
        <f>IFERROR(ROUND(SUM('🖥️ RAW_Hosts'!J3:J100)/1024,0),0)</f>
        <v/>
      </c>
      <c r="R8" s="38">
        <f>IFERROR(SUM('🖥️ RAW_Hosts'!I3:I100)/SUM('🖥️ RAW_Hosts'!J3:J100),0)</f>
        <v/>
      </c>
    </row>
    <row r="9" ht="16" customHeight="1">
      <c r="B9" s="39" t="inlineStr">
        <is>
          <t>hôtes ESXi</t>
        </is>
      </c>
      <c r="F9" s="39" t="inlineStr">
        <is>
          <t>cores logiq.</t>
        </is>
      </c>
      <c r="J9" s="41" t="inlineStr">
        <is>
          <t>usage moyen</t>
        </is>
      </c>
      <c r="N9" s="40" t="inlineStr">
        <is>
          <t>GB cluster</t>
        </is>
      </c>
      <c r="R9" s="42" t="inlineStr">
        <is>
          <t>usage moyen</t>
        </is>
      </c>
    </row>
    <row r="11" ht="20" customHeight="1">
      <c r="B11" s="56" t="inlineStr">
        <is>
          <t xml:space="preserve">  💽  STOCKAGE &amp; VMs</t>
        </is>
      </c>
    </row>
    <row r="12" ht="18" customHeight="1">
      <c r="B12" s="31" t="inlineStr">
        <is>
          <t>Total VMs</t>
        </is>
      </c>
      <c r="F12" s="32" t="inlineStr">
        <is>
          <t>VMs Power On</t>
        </is>
      </c>
      <c r="J12" s="31" t="inlineStr">
        <is>
          <t>Cap. Stockage</t>
        </is>
      </c>
      <c r="N12" s="33" t="inlineStr">
        <is>
          <t>Stg. Usage %</t>
        </is>
      </c>
      <c r="R12" s="34" t="inlineStr">
        <is>
          <t>Over-Commit Stg.</t>
        </is>
      </c>
    </row>
    <row r="13" ht="38" customHeight="1">
      <c r="B13" s="35">
        <f>COUNTA('⚡ RAW_VMs'!A3:A200)-COUNTBLANK('⚡ RAW_VMs'!A3:A200)</f>
        <v/>
      </c>
      <c r="F13" s="36">
        <f>COUNTIF('⚡ RAW_VMs'!B3:B200,"poweredOn")</f>
        <v/>
      </c>
      <c r="J13" s="35">
        <f>IFERROR(ROUND(SUM('💾 RAW_Datastores'!D3:D100)/1024,1),0)</f>
        <v/>
      </c>
      <c r="N13" s="37">
        <f>IFERROR(SUM('💾 RAW_Datastores'!F3:F100)/SUM('💾 RAW_Datastores'!D3:D100),0)</f>
        <v/>
      </c>
      <c r="R13" s="38">
        <f>IFERROR(SUM('💾 RAW_Datastores'!H3:H100)/SUM('💾 RAW_Datastores'!D3:D100),0)</f>
        <v/>
      </c>
    </row>
    <row r="14" ht="16" customHeight="1">
      <c r="B14" s="39" t="inlineStr">
        <is>
          <t>machines virt.</t>
        </is>
      </c>
      <c r="F14" s="40" t="inlineStr">
        <is>
          <t>VMs actives</t>
        </is>
      </c>
      <c r="J14" s="39" t="inlineStr">
        <is>
          <t>TB total</t>
        </is>
      </c>
      <c r="N14" s="41" t="inlineStr">
        <is>
          <t>usage moyen</t>
        </is>
      </c>
      <c r="R14" s="42" t="inlineStr">
        <is>
          <t>ratio global</t>
        </is>
      </c>
    </row>
    <row r="16" ht="20" customHeight="1">
      <c r="B16" s="57" t="inlineStr">
        <is>
          <t xml:space="preserve">  🚨  ALERTES &amp; RECOMMANDATIONS</t>
        </is>
      </c>
    </row>
    <row r="17" ht="20" customHeight="1">
      <c r="B17" s="9" t="inlineStr">
        <is>
          <t>CPU Headroom Global</t>
        </is>
      </c>
      <c r="C17" s="58" t="n"/>
      <c r="D17" s="58" t="n"/>
      <c r="E17" s="58" t="n"/>
      <c r="F17" s="59" t="n"/>
      <c r="G17" s="60">
        <f>IFERROR(TEXT((SUM('🖥️ RAW_Hosts'!G3:G100)-SUM('🖥️ RAW_Hosts'!F3:F100))/1000,"#,##0")&amp;" GHz disponibles","N/A")</f>
        <v/>
      </c>
      <c r="H17" s="58" t="n"/>
      <c r="I17" s="58" t="n"/>
      <c r="J17" s="58" t="n"/>
      <c r="K17" s="58" t="n"/>
      <c r="L17" s="59" t="n"/>
    </row>
    <row r="18" ht="20" customHeight="1">
      <c r="B18" s="9" t="inlineStr">
        <is>
          <t>RAM Headroom Global</t>
        </is>
      </c>
      <c r="C18" s="58" t="n"/>
      <c r="D18" s="58" t="n"/>
      <c r="E18" s="58" t="n"/>
      <c r="F18" s="59" t="n"/>
      <c r="G18" s="60">
        <f>IFERROR(TEXT(ROUND((SUM('🖥️ RAW_Hosts'!J3:J100)-SUM('🖥️ RAW_Hosts'!I3:I100))/1024,0),"#,##0")&amp;" GB RAM libres","N/A")</f>
        <v/>
      </c>
      <c r="H18" s="58" t="n"/>
      <c r="I18" s="58" t="n"/>
      <c r="J18" s="58" t="n"/>
      <c r="K18" s="58" t="n"/>
      <c r="L18" s="59" t="n"/>
    </row>
    <row r="19" ht="20" customHeight="1">
      <c r="B19" s="9" t="inlineStr">
        <is>
          <t>Stockage Libre Global</t>
        </is>
      </c>
      <c r="C19" s="58" t="n"/>
      <c r="D19" s="58" t="n"/>
      <c r="E19" s="58" t="n"/>
      <c r="F19" s="59" t="n"/>
      <c r="G19" s="60">
        <f>IFERROR(TEXT(ROUND(SUM('💾 RAW_Datastores'!E3:E100),0),"#,##0")&amp;" GB disponibles","N/A")</f>
        <v/>
      </c>
      <c r="H19" s="58" t="n"/>
      <c r="I19" s="58" t="n"/>
      <c r="J19" s="58" t="n"/>
      <c r="K19" s="58" t="n"/>
      <c r="L19" s="59" t="n"/>
    </row>
    <row r="20" ht="20" customHeight="1">
      <c r="B20" s="9" t="inlineStr">
        <is>
          <t>VMs Hors-ligne</t>
        </is>
      </c>
      <c r="C20" s="58" t="n"/>
      <c r="D20" s="58" t="n"/>
      <c r="E20" s="58" t="n"/>
      <c r="F20" s="59" t="n"/>
      <c r="G20" s="61">
        <f>IFERROR(TEXT(COUNTIF('⚡ RAW_VMs'!B3:B200,"poweredOff"),"0")&amp;" VMs éteintes","N/A")</f>
        <v/>
      </c>
      <c r="H20" s="58" t="n"/>
      <c r="I20" s="58" t="n"/>
      <c r="J20" s="58" t="n"/>
      <c r="K20" s="58" t="n"/>
      <c r="L20" s="59" t="n"/>
    </row>
    <row r="21" ht="20" customHeight="1">
      <c r="B21" s="9" t="inlineStr">
        <is>
          <t>Datastores Critiques</t>
        </is>
      </c>
      <c r="C21" s="58" t="n"/>
      <c r="D21" s="58" t="n"/>
      <c r="E21" s="58" t="n"/>
      <c r="F21" s="59" t="n"/>
      <c r="G21" s="62">
        <f>IFERROR(TEXT(COUNTIF('💽 Capacity_Storage'!G11:G18,"&gt;0.85"),"0")&amp;" DS &gt; 85% utilisé","N/A")</f>
        <v/>
      </c>
      <c r="H21" s="58" t="n"/>
      <c r="I21" s="58" t="n"/>
      <c r="J21" s="58" t="n"/>
      <c r="K21" s="58" t="n"/>
      <c r="L21" s="59" t="n"/>
    </row>
    <row r="23" ht="20" customHeight="1">
      <c r="B23" s="63" t="inlineStr">
        <is>
          <t xml:space="preserve">  📊  VISUALISATIONS GLOBALES</t>
        </is>
      </c>
    </row>
  </sheetData>
  <mergeCells count="45">
    <mergeCell ref="G19:L19"/>
    <mergeCell ref="B7:C7"/>
    <mergeCell ref="N7:O7"/>
    <mergeCell ref="J14:K14"/>
    <mergeCell ref="G18:L18"/>
    <mergeCell ref="B16:U16"/>
    <mergeCell ref="R13:S13"/>
    <mergeCell ref="J13:K13"/>
    <mergeCell ref="B18:F18"/>
    <mergeCell ref="F7:G7"/>
    <mergeCell ref="B12:C12"/>
    <mergeCell ref="J9:K9"/>
    <mergeCell ref="B21:F21"/>
    <mergeCell ref="F12:G12"/>
    <mergeCell ref="R7:S7"/>
    <mergeCell ref="N12:O12"/>
    <mergeCell ref="B11:U11"/>
    <mergeCell ref="B14:C14"/>
    <mergeCell ref="B2:U2"/>
    <mergeCell ref="G20:L20"/>
    <mergeCell ref="B8:C8"/>
    <mergeCell ref="B17:F17"/>
    <mergeCell ref="N8:O8"/>
    <mergeCell ref="N14:O14"/>
    <mergeCell ref="F8:G8"/>
    <mergeCell ref="B13:C13"/>
    <mergeCell ref="R12:S12"/>
    <mergeCell ref="B23:U23"/>
    <mergeCell ref="J7:K7"/>
    <mergeCell ref="B19:F19"/>
    <mergeCell ref="F13:G13"/>
    <mergeCell ref="B9:C9"/>
    <mergeCell ref="N13:O13"/>
    <mergeCell ref="F9:G9"/>
    <mergeCell ref="G21:L21"/>
    <mergeCell ref="N9:O9"/>
    <mergeCell ref="J12:K12"/>
    <mergeCell ref="B20:F20"/>
    <mergeCell ref="G17:L17"/>
    <mergeCell ref="B6:U6"/>
    <mergeCell ref="F14:G14"/>
    <mergeCell ref="R14:S14"/>
    <mergeCell ref="R9:S9"/>
    <mergeCell ref="J8:K8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2026-03-23T08:22:25Z</dcterms:created>
  <dcterms:modified xmlns:dcterms="http://purl.org/dc/terms/" xmlns:xsi="http://www.w3.org/2001/XMLSchema-instance" xsi:type="dcterms:W3CDTF">2026-03-23T08:22:25Z</dcterms:modified>
</cp:coreProperties>
</file>