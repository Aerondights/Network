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🖥️ RAW_Hosts" sheetId="2" state="visible" r:id="rId2"/>
    <sheet xmlns:r="http://schemas.openxmlformats.org/officeDocument/2006/relationships" name="💾 RAW_Datastores" sheetId="3" state="visible" r:id="rId3"/>
    <sheet xmlns:r="http://schemas.openxmlformats.org/officeDocument/2006/relationships" name="⚡ RAW_VMs" sheetId="4" state="visible" r:id="rId4"/>
    <sheet xmlns:r="http://schemas.openxmlformats.org/officeDocument/2006/relationships" name="📊 Capacity_Hosts" sheetId="5" state="visible" r:id="rId5"/>
    <sheet xmlns:r="http://schemas.openxmlformats.org/officeDocument/2006/relationships" name="💽 Capacity_Storage" sheetId="6" state="visible" r:id="rId6"/>
    <sheet xmlns:r="http://schemas.openxmlformats.org/officeDocument/2006/relationships" name="🔮 Projections" sheetId="7" state="visible" r:id="rId7"/>
    <sheet xmlns:r="http://schemas.openxmlformats.org/officeDocument/2006/relationships" name="📈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1B2A4A"/>
      <sz val="9"/>
    </font>
    <font>
      <name val="Arial"/>
      <b val="1"/>
      <color rgb="00000000"/>
      <sz val="9"/>
    </font>
    <font>
      <name val="Arial"/>
      <b val="1"/>
      <color rgb="002E7D32"/>
      <sz val="10"/>
    </font>
    <font>
      <name val="Arial"/>
      <b val="1"/>
      <color rgb="00F9A825"/>
      <sz val="10"/>
    </font>
    <font>
      <name val="Arial"/>
      <i val="1"/>
      <color rgb="001565C0"/>
      <sz val="9"/>
    </font>
    <font>
      <name val="Arial"/>
      <b val="1"/>
      <color rgb="00C62828"/>
      <sz val="10"/>
    </font>
    <font>
      <name val="Arial"/>
      <i val="1"/>
      <color rgb="0000ACC1"/>
      <sz val="9"/>
    </font>
    <font>
      <name val="Arial"/>
      <b val="1"/>
      <color rgb="00607D8B"/>
      <sz val="10"/>
    </font>
    <font>
      <name val="Arial"/>
      <i val="1"/>
      <color rgb="002E7D32"/>
      <sz val="9"/>
    </font>
    <font>
      <name val="Arial"/>
      <b val="1"/>
      <color rgb="001B2A4A"/>
      <sz val="18"/>
    </font>
    <font>
      <name val="Arial"/>
      <i val="1"/>
      <color rgb="00607D8B"/>
      <sz val="8"/>
    </font>
    <font>
      <name val="Arial"/>
      <b val="1"/>
      <color rgb="000000FF"/>
      <sz val="11"/>
    </font>
    <font>
      <name val="Arial"/>
      <i val="1"/>
      <color rgb="00607D8B"/>
      <sz val="9"/>
    </font>
    <font>
      <name val="Arial"/>
      <b val="1"/>
      <color rgb="00FFFFFF"/>
      <sz val="24"/>
    </font>
    <font>
      <name val="Arial"/>
      <i val="1"/>
      <color rgb="00607D8B"/>
      <sz val="10"/>
    </font>
    <font>
      <name val="Arial"/>
      <b val="1"/>
      <color rgb="001B2A4A"/>
      <sz val="14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E3F2FD"/>
      </patternFill>
    </fill>
    <fill>
      <patternFill patternType="solid">
        <fgColor rgb="001976D2"/>
      </patternFill>
    </fill>
    <fill>
      <patternFill patternType="solid">
        <fgColor rgb="00CFD8DC"/>
      </patternFill>
    </fill>
    <fill>
      <patternFill patternType="solid">
        <fgColor rgb="0000ACC1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4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3" fontId="19" fillId="6" borderId="1" applyAlignment="1" pivotButton="0" quotePrefix="0" xfId="0">
      <alignment horizontal="center" vertical="center"/>
    </xf>
    <xf numFmtId="165" fontId="19" fillId="12" borderId="1" applyAlignment="1" pivotButton="0" quotePrefix="0" xfId="0">
      <alignment horizontal="center" vertical="center"/>
    </xf>
    <xf numFmtId="3" fontId="19" fillId="13" borderId="1" applyAlignment="1" pivotButton="0" quotePrefix="0" xfId="0">
      <alignment horizontal="center" vertical="center"/>
    </xf>
    <xf numFmtId="3" fontId="19" fillId="1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5" fontId="21" fillId="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1" fillId="5" borderId="1" applyAlignment="1" pivotButton="0" quotePrefix="0" xfId="0">
      <alignment horizontal="left" vertical="center"/>
    </xf>
    <xf numFmtId="0" fontId="0" fillId="2" borderId="0" pivotButton="0" quotePrefix="0" xfId="0"/>
    <xf numFmtId="0" fontId="2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4" fillId="0" borderId="0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3" fontId="19" fillId="12" borderId="1" applyAlignment="1" pivotButton="0" quotePrefix="0" xfId="0">
      <alignment horizontal="center" vertical="center"/>
    </xf>
    <xf numFmtId="165" fontId="19" fillId="17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0" fillId="0" borderId="5" pivotButton="0" quotePrefix="0" xfId="0"/>
    <xf numFmtId="3" fontId="25" fillId="15" borderId="1" applyAlignment="1" pivotButton="0" quotePrefix="0" xfId="0">
      <alignment horizontal="center" vertical="center"/>
    </xf>
    <xf numFmtId="3" fontId="25" fillId="12" borderId="1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Capacity_Hosts'!$A$11:$A$20</f>
            </numRef>
          </cat>
          <val>
            <numRef>
              <f>'📊 Capacity_Hosts'!$F$11:$F$20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Cœurs CPU Libres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Capacity_Hosts'!$A$11:$A$20</f>
            </numRef>
          </cat>
          <val>
            <numRef>
              <f>'📊 Capacity_Hosts'!$H$11:$H$20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Capacité / Libre / Utilisé par DS (GB)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Capacity_Storage'!$A$11:$A$20</f>
            </numRef>
          </cat>
          <val>
            <numRef>
              <f>'💽 Capacity_Storage'!$G$11:$G$20</f>
            </numRef>
          </val>
        </ser>
        <ser>
          <idx val="1"/>
          <order val="1"/>
          <tx>
            <strRef>
              <f>'💽 Capacity_Storage'!H10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Capacity_Storage'!$A$11:$A$20</f>
            </numRef>
          </cat>
          <val>
            <numRef>
              <f>'💽 Capacity_Storage'!$H$11:$H$20</f>
            </numRef>
          </val>
        </ser>
        <ser>
          <idx val="2"/>
          <order val="2"/>
          <tx>
            <strRef>
              <f>'💽 Capacity_Storage'!J10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Capacity_Storage'!$A$11:$A$20</f>
            </numRef>
          </cat>
          <val>
            <numRef>
              <f>'💽 Capacity_Storage'!$J$11:$J$20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Capacité par DS</a:t>
            </a:r>
          </a:p>
        </rich>
      </tx>
    </title>
    <plotArea>
      <pieChart>
        <varyColors val="1"/>
        <ser>
          <idx val="0"/>
          <order val="0"/>
          <tx>
            <strRef>
              <f>'💽 Capacity_Storage'!G10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Capacity_Storage'!$A$11:$A$20</f>
            </numRef>
          </cat>
          <val>
            <numRef>
              <f>'💽 Capacity_Storage'!$G$11:$G$20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Nb VMs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Projections'!$B$19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Projections'!$C$19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Projections'!$D$19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Projections'!$E$19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Projections'!$F$19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Projections'!$G$19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Projections'!$H$19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Projections'!$I$19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Projections'!$J$19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Projections'!$K$19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Projections'!$L$19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Projections'!$M$19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Usage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Usage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Projections'!$K$30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Projections'!$L$30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Projections'!$M$30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Capacity_Hosts'!$A$11:$A$20</f>
            </numRef>
          </cat>
          <val>
            <numRef>
              <f>'📊 Capacity_Hosts'!$F$11:$F$20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Usage % par 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Capacity_Storage'!K10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Capacity_Storage'!$A$11:$A$20</f>
            </numRef>
          </cat>
          <val>
            <numRef>
              <f>'💽 Capacity_Storage'!$K$11:$K$20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VMs par État</a:t>
            </a:r>
          </a:p>
        </rich>
      </tx>
    </title>
    <plotArea>
      <pieChart>
        <varyColors val="1"/>
        <ser>
          <idx val="0"/>
          <order val="0"/>
          <tx>
            <strRef>
              <f>'📈 Dashboard'!C45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Dashboard'!$B$46:$B$47</f>
            </numRef>
          </cat>
          <val>
            <numRef>
              <f>'📈 Dashboard'!$C$46:$C$47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VMs 12 mois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23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23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34</row>
      <rowOff>0</rowOff>
    </from>
    <ext cx="75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34</row>
      <rowOff>0</rowOff>
    </from>
    <ext cx="75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5734</row>
      <rowOff>0</rowOff>
    </from>
    <ext cx="75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5734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24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57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48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Hosts" displayName="tHosts" ref="A3:L13" headerRowCount="1">
  <autoFilter ref="A3:L13"/>
  <tableColumns count="12">
    <tableColumn id="1" name="Name"/>
    <tableColumn id="2" name="State"/>
    <tableColumn id="3" name="Status"/>
    <tableColumn id="4" name="ClusterDatacenter"/>
    <tableColumn id="5" name="Cluster"/>
    <tableColumn id="6" name="Consumed CPU %"/>
    <tableColumn id="7" name="Memory Size (MB)"/>
    <tableColumn id="8" name="CPUs"/>
    <tableColumn id="9" name="CPU Free %"/>
    <tableColumn id="10" name="CPU free cores"/>
    <tableColumn id="11" name="NICs"/>
    <tableColumn id="12" name="R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astores" displayName="tDatastores" ref="A3:I13" headerRowCount="1">
  <autoFilter ref="A3:I13"/>
  <tableColumns count="9">
    <tableColumn id="1" name="Name"/>
    <tableColumn id="2" name="Cluster"/>
    <tableColumn id="3" name="Status"/>
    <tableColumn id="4" name="Type"/>
    <tableColumn id="5" name="Datastore cluster"/>
    <tableColumn id="6" name="Capacity TB"/>
    <tableColumn id="7" name="Capacity"/>
    <tableColumn id="8" name="Free"/>
    <tableColumn id="9" name="FreeSiz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VMs" displayName="tVMs" ref="A3:L20" headerRowCount="1">
  <autoFilter ref="A3:L20"/>
  <tableColumns count="12">
    <tableColumn id="1" name="Name"/>
    <tableColumn id="2" name="State"/>
    <tableColumn id="3" name="Status"/>
    <tableColumn id="4" name="Host"/>
    <tableColumn id="5" name="ClusterDatacenter"/>
    <tableColumn id="6" name="Cluster"/>
    <tableColumn id="7" name="Provisioned Space"/>
    <tableColumn id="8" name="Used Space"/>
    <tableColumn id="9" name="Host CPU"/>
    <tableColumn id="10" name="Host Mem"/>
    <tableColumn id="11" name="Active Memory"/>
    <tableColumn id="12" name="CP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48" customWidth="1" min="4" max="4"/>
    <col width="18" customWidth="1" min="5" max="5"/>
  </cols>
  <sheetData>
    <row r="1" ht="48" customHeight="1">
      <c r="A1" s="1" t="inlineStr">
        <is>
          <t>📋  VMware vCenter 8 – Capacity Planning</t>
        </is>
      </c>
    </row>
    <row r="2" ht="14" customHeight="1">
      <c r="A2" s="2" t="inlineStr">
        <is>
          <t>v3.0  |  23/03/2026  |  Tableaux dynamiques illimités</t>
        </is>
      </c>
    </row>
    <row r="4" ht="20" customHeight="1">
      <c r="B4" s="3" t="inlineStr">
        <is>
          <t xml:space="preserve">  🗂️  STRUCTURE DU CLASSEUR</t>
        </is>
      </c>
    </row>
    <row r="5" ht="20" customHeight="1">
      <c r="B5" s="4" t="inlineStr">
        <is>
          <t>Onglet</t>
        </is>
      </c>
      <c r="C5" s="4" t="inlineStr">
        <is>
          <t>Description</t>
        </is>
      </c>
      <c r="D5" s="4" t="inlineStr">
        <is>
          <t>Source</t>
        </is>
      </c>
      <c r="E5" s="4" t="inlineStr">
        <is>
          <t>Remarque</t>
        </is>
      </c>
    </row>
    <row r="6" ht="17" customHeight="1">
      <c r="B6" s="5" t="inlineStr">
        <is>
          <t>📋 Instructions</t>
        </is>
      </c>
      <c r="C6" s="6" t="inlineStr">
        <is>
          <t>Ce guide</t>
        </is>
      </c>
      <c r="D6" s="6" t="inlineStr">
        <is>
          <t>—</t>
        </is>
      </c>
    </row>
    <row r="7" ht="17" customHeight="1">
      <c r="B7" s="7" t="inlineStr">
        <is>
          <t>🖥️ RAW_Hosts</t>
        </is>
      </c>
      <c r="C7" s="8" t="inlineStr">
        <is>
          <t>Données brutes Hosts ESXi</t>
        </is>
      </c>
      <c r="D7" s="8" t="inlineStr">
        <is>
          <t>vCenter → Hosts → Export (coller en A4)</t>
        </is>
      </c>
    </row>
    <row r="8" ht="17" customHeight="1">
      <c r="B8" s="5" t="inlineStr">
        <is>
          <t>💾 RAW_Datastores</t>
        </is>
      </c>
      <c r="C8" s="6" t="inlineStr">
        <is>
          <t>Données brutes Datastores</t>
        </is>
      </c>
      <c r="D8" s="6" t="inlineStr">
        <is>
          <t>vCenter → Storage → Export (coller en A4)</t>
        </is>
      </c>
    </row>
    <row r="9" ht="17" customHeight="1">
      <c r="B9" s="7" t="inlineStr">
        <is>
          <t>⚡ RAW_VMs</t>
        </is>
      </c>
      <c r="C9" s="8" t="inlineStr">
        <is>
          <t>Données brutes VMs</t>
        </is>
      </c>
      <c r="D9" s="8" t="inlineStr">
        <is>
          <t>vCenter → VMs → Export (coller en A4)</t>
        </is>
      </c>
    </row>
    <row r="10" ht="17" customHeight="1">
      <c r="B10" s="5" t="inlineStr">
        <is>
          <t>📊 Capacity_Hosts</t>
        </is>
      </c>
      <c r="C10" s="6" t="inlineStr">
        <is>
          <t>Analyse CPU/RAM par host</t>
        </is>
      </c>
      <c r="D10" s="6" t="inlineStr">
        <is>
          <t>← RAW_Hosts</t>
        </is>
      </c>
    </row>
    <row r="11" ht="17" customHeight="1">
      <c r="B11" s="7" t="inlineStr">
        <is>
          <t>💽 Capacity_Storage</t>
        </is>
      </c>
      <c r="C11" s="8" t="inlineStr">
        <is>
          <t>Analyse stockage</t>
        </is>
      </c>
      <c r="D11" s="8" t="inlineStr">
        <is>
          <t>← RAW_Datastores</t>
        </is>
      </c>
    </row>
    <row r="12" ht="17" customHeight="1">
      <c r="B12" s="5" t="inlineStr">
        <is>
          <t>🔮 Projections</t>
        </is>
      </c>
      <c r="C12" s="6" t="inlineStr">
        <is>
          <t>Projections 12 mois</t>
        </is>
      </c>
      <c r="D12" s="6" t="inlineStr">
        <is>
          <t>← Tous les RAW</t>
        </is>
      </c>
    </row>
    <row r="13" ht="17" customHeight="1">
      <c r="B13" s="7" t="inlineStr">
        <is>
          <t>📈 Dashboard</t>
        </is>
      </c>
      <c r="C13" s="8" t="inlineStr">
        <is>
          <t>KPIs + graphiques globaux</t>
        </is>
      </c>
      <c r="D13" s="8" t="inlineStr">
        <is>
          <t>← Vue consolidée</t>
        </is>
      </c>
    </row>
    <row r="15" ht="20" customHeight="1">
      <c r="B15" s="3" t="inlineStr">
        <is>
          <t xml:space="preserve">  📌  COMMENT IMPORTER VOS DONNÉES</t>
        </is>
      </c>
    </row>
    <row r="16" ht="28" customHeight="1">
      <c r="B16" s="9" t="inlineStr">
        <is>
          <t>1</t>
        </is>
      </c>
      <c r="C16" s="10" t="inlineStr">
        <is>
          <t>Exporter depuis vCenter</t>
        </is>
      </c>
      <c r="D16" s="11" t="inlineStr">
        <is>
          <t>vCenter 8 → Menu Hôtes/Datastores/VMs → sélectionner toutes les colonnes → Exporter en CSV ou copier-coller</t>
        </is>
      </c>
    </row>
    <row r="17" ht="28" customHeight="1">
      <c r="B17" s="9" t="inlineStr">
        <is>
          <t>2</t>
        </is>
      </c>
      <c r="C17" s="10" t="inlineStr">
        <is>
          <t>Ouvrir le bon onglet RAW</t>
        </is>
      </c>
      <c r="D17" s="11" t="inlineStr">
        <is>
          <t>Aller sur 🖥️ RAW_Hosts, 💾 RAW_Datastores ou ⚡ RAW_VMs selon le type de données</t>
        </is>
      </c>
    </row>
    <row r="18" ht="28" customHeight="1">
      <c r="B18" s="9" t="inlineStr">
        <is>
          <t>3</t>
        </is>
      </c>
      <c r="C18" s="10" t="inlineStr">
        <is>
          <t>Supprimer les exemples</t>
        </is>
      </c>
      <c r="D18" s="11" t="inlineStr">
        <is>
          <t>Sélectionner les lignes 4 à la fin du tableau → Suppr (ne pas toucher la ligne 3 = en-têtes)</t>
        </is>
      </c>
    </row>
    <row r="19" ht="28" customHeight="1">
      <c r="B19" s="9" t="inlineStr">
        <is>
          <t>4</t>
        </is>
      </c>
      <c r="C19" s="10" t="inlineStr">
        <is>
          <t>Coller vos données</t>
        </is>
      </c>
      <c r="D19" s="11" t="inlineStr">
        <is>
          <t>Coller à partir de la cellule A4. Le tableau Excel s'étend automatiquement — aucune limite de lignes.</t>
        </is>
      </c>
    </row>
    <row r="20" ht="28" customHeight="1">
      <c r="B20" s="9" t="inlineStr">
        <is>
          <t>5</t>
        </is>
      </c>
      <c r="C20" s="10" t="inlineStr">
        <is>
          <t>Vérifier les colonnes</t>
        </is>
      </c>
      <c r="D20" s="11" t="inlineStr">
        <is>
          <t>S'assurer que les colonnes correspondent aux en-têtes de la ligne 3 (voir tableau ci-dessous)</t>
        </is>
      </c>
    </row>
    <row r="21" ht="28" customHeight="1">
      <c r="B21" s="9" t="inlineStr">
        <is>
          <t>6</t>
        </is>
      </c>
      <c r="C21" s="10" t="inlineStr">
        <is>
          <t>Consulter le Dashboard</t>
        </is>
      </c>
      <c r="D21" s="11" t="inlineStr">
        <is>
          <t>Toutes les analyses se recalculent automatiquement. Aller sur 📈 Dashboard.</t>
        </is>
      </c>
    </row>
    <row r="23" ht="20" customHeight="1">
      <c r="B23" s="3" t="inlineStr">
        <is>
          <t xml:space="preserve">  📥  COLONNES PAR ONGLET RAW  (ligne 3 = en-têtes)</t>
        </is>
      </c>
    </row>
    <row r="24" ht="20" customHeight="1">
      <c r="B24" s="12" t="inlineStr">
        <is>
          <t>🖥️ RAW_Hosts</t>
        </is>
      </c>
    </row>
    <row r="25" ht="18" customHeight="1">
      <c r="B25" s="13" t="inlineStr">
        <is>
          <t>Col</t>
        </is>
      </c>
      <c r="C25" s="13" t="inlineStr">
        <is>
          <t>Nom de colonne</t>
        </is>
      </c>
      <c r="D25" s="13" t="inlineStr">
        <is>
          <t>Description</t>
        </is>
      </c>
      <c r="E25" s="13" t="inlineStr">
        <is>
          <t>—</t>
        </is>
      </c>
    </row>
    <row r="26" ht="16" customHeight="1">
      <c r="B26" s="14" t="inlineStr">
        <is>
          <t>A</t>
        </is>
      </c>
      <c r="C26" s="15" t="inlineStr">
        <is>
          <t>Name</t>
        </is>
      </c>
      <c r="D26" s="16" t="inlineStr">
        <is>
          <t>Nom du host ESXi</t>
        </is>
      </c>
    </row>
    <row r="27" ht="16" customHeight="1">
      <c r="B27" s="17" t="inlineStr">
        <is>
          <t>B</t>
        </is>
      </c>
      <c r="C27" s="18" t="inlineStr">
        <is>
          <t>State</t>
        </is>
      </c>
      <c r="D27" s="19" t="inlineStr">
        <is>
          <t>connected / disconnected / maintenance</t>
        </is>
      </c>
    </row>
    <row r="28" ht="16" customHeight="1">
      <c r="B28" s="14" t="inlineStr">
        <is>
          <t>C</t>
        </is>
      </c>
      <c r="C28" s="15" t="inlineStr">
        <is>
          <t>Status</t>
        </is>
      </c>
      <c r="D28" s="16" t="inlineStr">
        <is>
          <t>green / yellow / red</t>
        </is>
      </c>
    </row>
    <row r="29" ht="16" customHeight="1">
      <c r="B29" s="17" t="inlineStr">
        <is>
          <t>D</t>
        </is>
      </c>
      <c r="C29" s="18" t="inlineStr">
        <is>
          <t>ClusterDatacenter</t>
        </is>
      </c>
      <c r="D29" s="19" t="inlineStr">
        <is>
          <t>Datacenter du cluster</t>
        </is>
      </c>
    </row>
    <row r="30" ht="16" customHeight="1">
      <c r="B30" s="14" t="inlineStr">
        <is>
          <t>E</t>
        </is>
      </c>
      <c r="C30" s="15" t="inlineStr">
        <is>
          <t>Cluster</t>
        </is>
      </c>
      <c r="D30" s="16" t="inlineStr">
        <is>
          <t>Nom du cluster vSphere</t>
        </is>
      </c>
    </row>
    <row r="31" ht="16" customHeight="1">
      <c r="B31" s="17" t="inlineStr">
        <is>
          <t>F</t>
        </is>
      </c>
      <c r="C31" s="18" t="inlineStr">
        <is>
          <t>Consumed CPU %</t>
        </is>
      </c>
      <c r="D31" s="19" t="inlineStr">
        <is>
          <t>Pourcentage CPU consommé (ex: 45% ou 0.45)</t>
        </is>
      </c>
    </row>
    <row r="32" ht="16" customHeight="1">
      <c r="B32" s="14" t="inlineStr">
        <is>
          <t>G</t>
        </is>
      </c>
      <c r="C32" s="15" t="inlineStr">
        <is>
          <t>Memory Size (MB)</t>
        </is>
      </c>
      <c r="D32" s="16" t="inlineStr">
        <is>
          <t>RAM totale du host en MB</t>
        </is>
      </c>
    </row>
    <row r="33" ht="16" customHeight="1">
      <c r="B33" s="17" t="inlineStr">
        <is>
          <t>H</t>
        </is>
      </c>
      <c r="C33" s="18" t="inlineStr">
        <is>
          <t>CPUs</t>
        </is>
      </c>
      <c r="D33" s="19" t="inlineStr">
        <is>
          <t>Nombre total de CPUs logiques</t>
        </is>
      </c>
    </row>
    <row r="34" ht="16" customHeight="1">
      <c r="B34" s="14" t="inlineStr">
        <is>
          <t>I</t>
        </is>
      </c>
      <c r="C34" s="15" t="inlineStr">
        <is>
          <t>CPU Free %</t>
        </is>
      </c>
      <c r="D34" s="16" t="inlineStr">
        <is>
          <t>Pourcentage CPU libre</t>
        </is>
      </c>
    </row>
    <row r="35" ht="16" customHeight="1">
      <c r="B35" s="17" t="inlineStr">
        <is>
          <t>J</t>
        </is>
      </c>
      <c r="C35" s="18" t="inlineStr">
        <is>
          <t>CPU free cores</t>
        </is>
      </c>
      <c r="D35" s="19" t="inlineStr">
        <is>
          <t>Nombre de cœurs libres</t>
        </is>
      </c>
    </row>
    <row r="36" ht="16" customHeight="1">
      <c r="B36" s="14" t="inlineStr">
        <is>
          <t>K</t>
        </is>
      </c>
      <c r="C36" s="15" t="inlineStr">
        <is>
          <t>NICs</t>
        </is>
      </c>
      <c r="D36" s="16" t="inlineStr">
        <is>
          <t>Nombre de cartes réseau</t>
        </is>
      </c>
    </row>
    <row r="37" ht="16" customHeight="1">
      <c r="B37" s="17" t="inlineStr">
        <is>
          <t>L</t>
        </is>
      </c>
      <c r="C37" s="18" t="inlineStr">
        <is>
          <t>RAM</t>
        </is>
      </c>
      <c r="D37" s="19" t="inlineStr">
        <is>
          <t>RAM consommée (MB)</t>
        </is>
      </c>
    </row>
    <row r="39" ht="20" customHeight="1">
      <c r="B39" s="12" t="inlineStr">
        <is>
          <t>💾 RAW_Datastores</t>
        </is>
      </c>
    </row>
    <row r="40" ht="18" customHeight="1">
      <c r="B40" s="13" t="inlineStr">
        <is>
          <t>Col</t>
        </is>
      </c>
      <c r="C40" s="13" t="inlineStr">
        <is>
          <t>Nom de colonne</t>
        </is>
      </c>
      <c r="D40" s="13" t="inlineStr">
        <is>
          <t>Description</t>
        </is>
      </c>
      <c r="E40" s="13" t="inlineStr">
        <is>
          <t>—</t>
        </is>
      </c>
    </row>
    <row r="41" ht="16" customHeight="1">
      <c r="B41" s="14" t="inlineStr">
        <is>
          <t>A</t>
        </is>
      </c>
      <c r="C41" s="15" t="inlineStr">
        <is>
          <t>Name</t>
        </is>
      </c>
      <c r="D41" s="16" t="inlineStr">
        <is>
          <t>Nom du datastore</t>
        </is>
      </c>
    </row>
    <row r="42" ht="16" customHeight="1">
      <c r="B42" s="17" t="inlineStr">
        <is>
          <t>B</t>
        </is>
      </c>
      <c r="C42" s="18" t="inlineStr">
        <is>
          <t>Cluster</t>
        </is>
      </c>
      <c r="D42" s="19" t="inlineStr">
        <is>
          <t>Cluster vSphere associé</t>
        </is>
      </c>
    </row>
    <row r="43" ht="16" customHeight="1">
      <c r="B43" s="14" t="inlineStr">
        <is>
          <t>C</t>
        </is>
      </c>
      <c r="C43" s="15" t="inlineStr">
        <is>
          <t>Status</t>
        </is>
      </c>
      <c r="D43" s="16" t="inlineStr">
        <is>
          <t>green / yellow / red</t>
        </is>
      </c>
    </row>
    <row r="44" ht="16" customHeight="1">
      <c r="B44" s="17" t="inlineStr">
        <is>
          <t>D</t>
        </is>
      </c>
      <c r="C44" s="18" t="inlineStr">
        <is>
          <t>Type</t>
        </is>
      </c>
      <c r="D44" s="19" t="inlineStr">
        <is>
          <t>VMFS / NFS / vSAN / vVol</t>
        </is>
      </c>
    </row>
    <row r="45" ht="16" customHeight="1">
      <c r="B45" s="14" t="inlineStr">
        <is>
          <t>E</t>
        </is>
      </c>
      <c r="C45" s="15" t="inlineStr">
        <is>
          <t>Datastore cluster</t>
        </is>
      </c>
      <c r="D45" s="16" t="inlineStr">
        <is>
          <t>Nom du datastore cluster</t>
        </is>
      </c>
    </row>
    <row r="46" ht="16" customHeight="1">
      <c r="B46" s="17" t="inlineStr">
        <is>
          <t>F</t>
        </is>
      </c>
      <c r="C46" s="18" t="inlineStr">
        <is>
          <t>Capacity TB</t>
        </is>
      </c>
      <c r="D46" s="19" t="inlineStr">
        <is>
          <t>Capacité en TB</t>
        </is>
      </c>
    </row>
    <row r="47" ht="16" customHeight="1">
      <c r="B47" s="14" t="inlineStr">
        <is>
          <t>G</t>
        </is>
      </c>
      <c r="C47" s="15" t="inlineStr">
        <is>
          <t>Capacity</t>
        </is>
      </c>
      <c r="D47" s="16" t="inlineStr">
        <is>
          <t>Capacité en GB (autre unité si différent)</t>
        </is>
      </c>
    </row>
    <row r="48" ht="16" customHeight="1">
      <c r="B48" s="17" t="inlineStr">
        <is>
          <t>H</t>
        </is>
      </c>
      <c r="C48" s="18" t="inlineStr">
        <is>
          <t>Free</t>
        </is>
      </c>
      <c r="D48" s="19" t="inlineStr">
        <is>
          <t>Espace libre (valeur brute)</t>
        </is>
      </c>
    </row>
    <row r="49" ht="16" customHeight="1">
      <c r="B49" s="14" t="inlineStr">
        <is>
          <t>I</t>
        </is>
      </c>
      <c r="C49" s="15" t="inlineStr">
        <is>
          <t>FreeSize</t>
        </is>
      </c>
      <c r="D49" s="16" t="inlineStr">
        <is>
          <t>Espace libre en GB ou TB</t>
        </is>
      </c>
    </row>
    <row r="51" ht="20" customHeight="1">
      <c r="B51" s="12" t="inlineStr">
        <is>
          <t>⚡ RAW_VMs</t>
        </is>
      </c>
    </row>
    <row r="52" ht="18" customHeight="1">
      <c r="B52" s="13" t="inlineStr">
        <is>
          <t>Col</t>
        </is>
      </c>
      <c r="C52" s="13" t="inlineStr">
        <is>
          <t>Nom de colonne</t>
        </is>
      </c>
      <c r="D52" s="13" t="inlineStr">
        <is>
          <t>Description</t>
        </is>
      </c>
      <c r="E52" s="13" t="inlineStr">
        <is>
          <t>—</t>
        </is>
      </c>
    </row>
    <row r="53" ht="16" customHeight="1">
      <c r="B53" s="14" t="inlineStr">
        <is>
          <t>A</t>
        </is>
      </c>
      <c r="C53" s="15" t="inlineStr">
        <is>
          <t>Name</t>
        </is>
      </c>
      <c r="D53" s="16" t="inlineStr">
        <is>
          <t>Nom de la VM</t>
        </is>
      </c>
    </row>
    <row r="54" ht="16" customHeight="1">
      <c r="B54" s="17" t="inlineStr">
        <is>
          <t>B</t>
        </is>
      </c>
      <c r="C54" s="18" t="inlineStr">
        <is>
          <t>State</t>
        </is>
      </c>
      <c r="D54" s="19" t="inlineStr">
        <is>
          <t>poweredOn / poweredOff / suspended</t>
        </is>
      </c>
    </row>
    <row r="55" ht="16" customHeight="1">
      <c r="B55" s="14" t="inlineStr">
        <is>
          <t>C</t>
        </is>
      </c>
      <c r="C55" s="15" t="inlineStr">
        <is>
          <t>Status</t>
        </is>
      </c>
      <c r="D55" s="16" t="inlineStr">
        <is>
          <t>green / yellow / red</t>
        </is>
      </c>
    </row>
    <row r="56" ht="16" customHeight="1">
      <c r="B56" s="17" t="inlineStr">
        <is>
          <t>D</t>
        </is>
      </c>
      <c r="C56" s="18" t="inlineStr">
        <is>
          <t>Host</t>
        </is>
      </c>
      <c r="D56" s="19" t="inlineStr">
        <is>
          <t>Host ESXi hébergeant la VM</t>
        </is>
      </c>
    </row>
    <row r="57" ht="16" customHeight="1">
      <c r="B57" s="14" t="inlineStr">
        <is>
          <t>E</t>
        </is>
      </c>
      <c r="C57" s="15" t="inlineStr">
        <is>
          <t>ClusterDatacenter</t>
        </is>
      </c>
      <c r="D57" s="16" t="inlineStr">
        <is>
          <t>Datacenter du cluster</t>
        </is>
      </c>
    </row>
    <row r="58" ht="16" customHeight="1">
      <c r="B58" s="17" t="inlineStr">
        <is>
          <t>F</t>
        </is>
      </c>
      <c r="C58" s="18" t="inlineStr">
        <is>
          <t>Cluster</t>
        </is>
      </c>
      <c r="D58" s="19" t="inlineStr">
        <is>
          <t>Cluster vSphere</t>
        </is>
      </c>
    </row>
    <row r="59" ht="16" customHeight="1">
      <c r="B59" s="14" t="inlineStr">
        <is>
          <t>G</t>
        </is>
      </c>
      <c r="C59" s="15" t="inlineStr">
        <is>
          <t>Provisioned Space</t>
        </is>
      </c>
      <c r="D59" s="16" t="inlineStr">
        <is>
          <t>Espace disque provisionné (GB)</t>
        </is>
      </c>
    </row>
    <row r="60" ht="16" customHeight="1">
      <c r="B60" s="17" t="inlineStr">
        <is>
          <t>H</t>
        </is>
      </c>
      <c r="C60" s="18" t="inlineStr">
        <is>
          <t>Used Space</t>
        </is>
      </c>
      <c r="D60" s="19" t="inlineStr">
        <is>
          <t>Espace disque utilisé (GB)</t>
        </is>
      </c>
    </row>
    <row r="61" ht="16" customHeight="1">
      <c r="B61" s="14" t="inlineStr">
        <is>
          <t>I</t>
        </is>
      </c>
      <c r="C61" s="15" t="inlineStr">
        <is>
          <t>Host CPU</t>
        </is>
      </c>
      <c r="D61" s="16" t="inlineStr">
        <is>
          <t>CPU consommé sur le host (MHz ou %)</t>
        </is>
      </c>
    </row>
    <row r="62" ht="16" customHeight="1">
      <c r="B62" s="17" t="inlineStr">
        <is>
          <t>J</t>
        </is>
      </c>
      <c r="C62" s="18" t="inlineStr">
        <is>
          <t>Host Mem</t>
        </is>
      </c>
      <c r="D62" s="19" t="inlineStr">
        <is>
          <t>Mémoire consommée sur le host (MB)</t>
        </is>
      </c>
    </row>
    <row r="63" ht="16" customHeight="1">
      <c r="B63" s="14" t="inlineStr">
        <is>
          <t>K</t>
        </is>
      </c>
      <c r="C63" s="15" t="inlineStr">
        <is>
          <t>Active Memory</t>
        </is>
      </c>
      <c r="D63" s="16" t="inlineStr">
        <is>
          <t>Mémoire active dans la VM (MB)</t>
        </is>
      </c>
    </row>
    <row r="64" ht="16" customHeight="1">
      <c r="B64" s="17" t="inlineStr">
        <is>
          <t>L</t>
        </is>
      </c>
      <c r="C64" s="18" t="inlineStr">
        <is>
          <t>CPUs</t>
        </is>
      </c>
      <c r="D64" s="19" t="inlineStr">
        <is>
          <t>Nombre de vCPUs</t>
        </is>
      </c>
    </row>
  </sheetData>
  <mergeCells count="8">
    <mergeCell ref="B23:E23"/>
    <mergeCell ref="B4:E4"/>
    <mergeCell ref="A2:E2"/>
    <mergeCell ref="B15:E15"/>
    <mergeCell ref="B39:E39"/>
    <mergeCell ref="A1:E1"/>
    <mergeCell ref="B24:E24"/>
    <mergeCell ref="B51:E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22" customWidth="1" min="4" max="4"/>
    <col width="20" customWidth="1" min="5" max="5"/>
    <col width="16" customWidth="1" min="6" max="6"/>
    <col width="18" customWidth="1" min="7" max="7"/>
    <col width="8" customWidth="1" min="8" max="8"/>
    <col width="13" customWidth="1" min="9" max="9"/>
    <col width="14" customWidth="1" min="10" max="10"/>
    <col width="8" customWidth="1" min="11" max="11"/>
    <col width="14" customWidth="1" min="12" max="12"/>
  </cols>
  <sheetData>
    <row r="1" ht="48" customHeight="1">
      <c r="A1" s="1" t="inlineStr">
        <is>
          <t>🖥️  HOSTS ESXi – Données brutes vCenter 8</t>
        </is>
      </c>
    </row>
    <row r="2" ht="14" customHeight="1">
      <c r="A2" s="2" t="inlineStr">
        <is>
          <t>⚠️  Coller vos données à partir de A4  |  Ligne 3 = en-têtes (ne pas modifier)  |  Tableau extensible sans limite</t>
        </is>
      </c>
    </row>
    <row r="3" ht="26" customHeight="1">
      <c r="A3" s="20" t="inlineStr">
        <is>
          <t>Name</t>
        </is>
      </c>
      <c r="B3" s="20" t="inlineStr">
        <is>
          <t>State</t>
        </is>
      </c>
      <c r="C3" s="20" t="inlineStr">
        <is>
          <t>Status</t>
        </is>
      </c>
      <c r="D3" s="20" t="inlineStr">
        <is>
          <t>ClusterDatacenter</t>
        </is>
      </c>
      <c r="E3" s="20" t="inlineStr">
        <is>
          <t>Cluster</t>
        </is>
      </c>
      <c r="F3" s="20" t="inlineStr">
        <is>
          <t>Consumed CPU %</t>
        </is>
      </c>
      <c r="G3" s="20" t="inlineStr">
        <is>
          <t>Memory Size (MB)</t>
        </is>
      </c>
      <c r="H3" s="20" t="inlineStr">
        <is>
          <t>CPUs</t>
        </is>
      </c>
      <c r="I3" s="20" t="inlineStr">
        <is>
          <t>CPU Free %</t>
        </is>
      </c>
      <c r="J3" s="20" t="inlineStr">
        <is>
          <t>CPU free cores</t>
        </is>
      </c>
      <c r="K3" s="20" t="inlineStr">
        <is>
          <t>NICs</t>
        </is>
      </c>
      <c r="L3" s="20" t="inlineStr">
        <is>
          <t>RAM</t>
        </is>
      </c>
    </row>
    <row r="4" ht="18" customHeight="1">
      <c r="A4" s="21" t="inlineStr">
        <is>
          <t>esxi-prod-01.lab</t>
        </is>
      </c>
      <c r="B4" s="22" t="inlineStr">
        <is>
          <t>connected</t>
        </is>
      </c>
      <c r="C4" s="22" t="inlineStr">
        <is>
          <t>green</t>
        </is>
      </c>
      <c r="D4" s="21" t="inlineStr">
        <is>
          <t>DC-Paris</t>
        </is>
      </c>
      <c r="E4" s="21" t="inlineStr">
        <is>
          <t>PROD-Cluster-01</t>
        </is>
      </c>
      <c r="F4" s="21" t="inlineStr">
        <is>
          <t>23%</t>
        </is>
      </c>
      <c r="G4" s="23" t="n">
        <v>393216</v>
      </c>
      <c r="H4" s="21" t="n">
        <v>40</v>
      </c>
      <c r="I4" s="21" t="inlineStr">
        <is>
          <t>77%</t>
        </is>
      </c>
      <c r="J4" s="23" t="n">
        <v>31</v>
      </c>
      <c r="K4" s="21" t="n">
        <v>4</v>
      </c>
      <c r="L4" s="23" t="n">
        <v>91136</v>
      </c>
    </row>
    <row r="5" ht="18" customHeight="1">
      <c r="A5" s="21" t="inlineStr">
        <is>
          <t>esxi-prod-02.lab</t>
        </is>
      </c>
      <c r="B5" s="22" t="inlineStr">
        <is>
          <t>connected</t>
        </is>
      </c>
      <c r="C5" s="22" t="inlineStr">
        <is>
          <t>green</t>
        </is>
      </c>
      <c r="D5" s="21" t="inlineStr">
        <is>
          <t>DC-Paris</t>
        </is>
      </c>
      <c r="E5" s="21" t="inlineStr">
        <is>
          <t>PROD-Cluster-01</t>
        </is>
      </c>
      <c r="F5" s="21" t="inlineStr">
        <is>
          <t>55%</t>
        </is>
      </c>
      <c r="G5" s="23" t="n">
        <v>393216</v>
      </c>
      <c r="H5" s="21" t="n">
        <v>40</v>
      </c>
      <c r="I5" s="21" t="inlineStr">
        <is>
          <t>45%</t>
        </is>
      </c>
      <c r="J5" s="23" t="n">
        <v>18</v>
      </c>
      <c r="K5" s="21" t="n">
        <v>4</v>
      </c>
      <c r="L5" s="23" t="n">
        <v>245760</v>
      </c>
    </row>
    <row r="6" ht="18" customHeight="1">
      <c r="A6" s="21" t="inlineStr">
        <is>
          <t>esxi-prod-03.lab</t>
        </is>
      </c>
      <c r="B6" s="22" t="inlineStr">
        <is>
          <t>connected</t>
        </is>
      </c>
      <c r="C6" s="22" t="inlineStr">
        <is>
          <t>green</t>
        </is>
      </c>
      <c r="D6" s="21" t="inlineStr">
        <is>
          <t>DC-Paris</t>
        </is>
      </c>
      <c r="E6" s="21" t="inlineStr">
        <is>
          <t>PROD-Cluster-01</t>
        </is>
      </c>
      <c r="F6" s="21" t="inlineStr">
        <is>
          <t>39%</t>
        </is>
      </c>
      <c r="G6" s="23" t="n">
        <v>393216</v>
      </c>
      <c r="H6" s="21" t="n">
        <v>40</v>
      </c>
      <c r="I6" s="21" t="inlineStr">
        <is>
          <t>61%</t>
        </is>
      </c>
      <c r="J6" s="23" t="n">
        <v>24</v>
      </c>
      <c r="K6" s="21" t="n">
        <v>4</v>
      </c>
      <c r="L6" s="23" t="n">
        <v>180000</v>
      </c>
    </row>
    <row r="7" ht="18" customHeight="1">
      <c r="A7" s="21" t="inlineStr">
        <is>
          <t>esxi-prod-04.lab</t>
        </is>
      </c>
      <c r="B7" s="22" t="inlineStr">
        <is>
          <t>connected</t>
        </is>
      </c>
      <c r="C7" s="22" t="inlineStr">
        <is>
          <t>green</t>
        </is>
      </c>
      <c r="D7" s="21" t="inlineStr">
        <is>
          <t>DC-Paris</t>
        </is>
      </c>
      <c r="E7" s="21" t="inlineStr">
        <is>
          <t>PROD-Cluster-02</t>
        </is>
      </c>
      <c r="F7" s="21" t="inlineStr">
        <is>
          <t>68%</t>
        </is>
      </c>
      <c r="G7" s="23" t="n">
        <v>262144</v>
      </c>
      <c r="H7" s="21" t="n">
        <v>32</v>
      </c>
      <c r="I7" s="21" t="inlineStr">
        <is>
          <t>32%</t>
        </is>
      </c>
      <c r="J7" s="23" t="n">
        <v>10</v>
      </c>
      <c r="K7" s="21" t="n">
        <v>4</v>
      </c>
      <c r="L7" s="23" t="n">
        <v>220000</v>
      </c>
    </row>
    <row r="8" ht="18" customHeight="1">
      <c r="A8" s="21" t="inlineStr">
        <is>
          <t>esxi-prod-05.lab</t>
        </is>
      </c>
      <c r="B8" s="22" t="inlineStr">
        <is>
          <t>connected</t>
        </is>
      </c>
      <c r="C8" s="24" t="inlineStr">
        <is>
          <t>yellow</t>
        </is>
      </c>
      <c r="D8" s="21" t="inlineStr">
        <is>
          <t>DC-Paris</t>
        </is>
      </c>
      <c r="E8" s="21" t="inlineStr">
        <is>
          <t>PROD-Cluster-02</t>
        </is>
      </c>
      <c r="F8" s="21" t="inlineStr">
        <is>
          <t>81%</t>
        </is>
      </c>
      <c r="G8" s="23" t="n">
        <v>262144</v>
      </c>
      <c r="H8" s="21" t="n">
        <v>32</v>
      </c>
      <c r="I8" s="21" t="inlineStr">
        <is>
          <t>19%</t>
        </is>
      </c>
      <c r="J8" s="23" t="n">
        <v>6</v>
      </c>
      <c r="K8" s="21" t="n">
        <v>4</v>
      </c>
      <c r="L8" s="23" t="n">
        <v>240000</v>
      </c>
    </row>
    <row r="9" ht="18" customHeight="1">
      <c r="A9" s="21" t="inlineStr">
        <is>
          <t>esxi-prod-06.lab</t>
        </is>
      </c>
      <c r="B9" s="22" t="inlineStr">
        <is>
          <t>connected</t>
        </is>
      </c>
      <c r="C9" s="22" t="inlineStr">
        <is>
          <t>green</t>
        </is>
      </c>
      <c r="D9" s="21" t="inlineStr">
        <is>
          <t>DC-Paris</t>
        </is>
      </c>
      <c r="E9" s="21" t="inlineStr">
        <is>
          <t>PROD-Cluster-02</t>
        </is>
      </c>
      <c r="F9" s="21" t="inlineStr">
        <is>
          <t>74%</t>
        </is>
      </c>
      <c r="G9" s="23" t="n">
        <v>262144</v>
      </c>
      <c r="H9" s="21" t="n">
        <v>32</v>
      </c>
      <c r="I9" s="21" t="inlineStr">
        <is>
          <t>26%</t>
        </is>
      </c>
      <c r="J9" s="23" t="n">
        <v>8</v>
      </c>
      <c r="K9" s="21" t="n">
        <v>4</v>
      </c>
      <c r="L9" s="23" t="n">
        <v>210000</v>
      </c>
    </row>
    <row r="10" ht="18" customHeight="1">
      <c r="A10" s="21" t="inlineStr">
        <is>
          <t>esxi-dev-01.lab</t>
        </is>
      </c>
      <c r="B10" s="22" t="inlineStr">
        <is>
          <t>connected</t>
        </is>
      </c>
      <c r="C10" s="22" t="inlineStr">
        <is>
          <t>green</t>
        </is>
      </c>
      <c r="D10" s="21" t="inlineStr">
        <is>
          <t>DC-Nantes</t>
        </is>
      </c>
      <c r="E10" s="21" t="inlineStr">
        <is>
          <t>DEV-Cluster-01</t>
        </is>
      </c>
      <c r="F10" s="21" t="inlineStr">
        <is>
          <t>18%</t>
        </is>
      </c>
      <c r="G10" s="23" t="n">
        <v>196608</v>
      </c>
      <c r="H10" s="21" t="n">
        <v>24</v>
      </c>
      <c r="I10" s="21" t="inlineStr">
        <is>
          <t>82%</t>
        </is>
      </c>
      <c r="J10" s="23" t="n">
        <v>20</v>
      </c>
      <c r="K10" s="21" t="n">
        <v>2</v>
      </c>
      <c r="L10" s="23" t="n">
        <v>45000</v>
      </c>
    </row>
    <row r="11" ht="18" customHeight="1">
      <c r="A11" s="21" t="inlineStr">
        <is>
          <t>esxi-dev-02.lab</t>
        </is>
      </c>
      <c r="B11" s="22" t="inlineStr">
        <is>
          <t>connected</t>
        </is>
      </c>
      <c r="C11" s="22" t="inlineStr">
        <is>
          <t>green</t>
        </is>
      </c>
      <c r="D11" s="21" t="inlineStr">
        <is>
          <t>DC-Nantes</t>
        </is>
      </c>
      <c r="E11" s="21" t="inlineStr">
        <is>
          <t>DEV-Cluster-01</t>
        </is>
      </c>
      <c r="F11" s="21" t="inlineStr">
        <is>
          <t>12%</t>
        </is>
      </c>
      <c r="G11" s="23" t="n">
        <v>196608</v>
      </c>
      <c r="H11" s="21" t="n">
        <v>24</v>
      </c>
      <c r="I11" s="21" t="inlineStr">
        <is>
          <t>88%</t>
        </is>
      </c>
      <c r="J11" s="23" t="n">
        <v>21</v>
      </c>
      <c r="K11" s="21" t="n">
        <v>2</v>
      </c>
      <c r="L11" s="23" t="n">
        <v>35000</v>
      </c>
    </row>
    <row r="12" ht="18" customHeight="1">
      <c r="A12" s="21" t="inlineStr">
        <is>
          <t>esxi-dev-03.lab</t>
        </is>
      </c>
      <c r="B12" s="22" t="inlineStr">
        <is>
          <t>connected</t>
        </is>
      </c>
      <c r="C12" s="22" t="inlineStr">
        <is>
          <t>green</t>
        </is>
      </c>
      <c r="D12" s="21" t="inlineStr">
        <is>
          <t>DC-Nantes</t>
        </is>
      </c>
      <c r="E12" s="21" t="inlineStr">
        <is>
          <t>DEV-Cluster-01</t>
        </is>
      </c>
      <c r="F12" s="21" t="inlineStr">
        <is>
          <t>9%</t>
        </is>
      </c>
      <c r="G12" s="23" t="n">
        <v>196608</v>
      </c>
      <c r="H12" s="21" t="n">
        <v>24</v>
      </c>
      <c r="I12" s="21" t="inlineStr">
        <is>
          <t>91%</t>
        </is>
      </c>
      <c r="J12" s="23" t="n">
        <v>22</v>
      </c>
      <c r="K12" s="21" t="n">
        <v>2</v>
      </c>
      <c r="L12" s="23" t="n">
        <v>28000</v>
      </c>
    </row>
    <row r="13" ht="18" customHeight="1">
      <c r="A13" s="21" t="inlineStr">
        <is>
          <t>esxi-dr-01.lab</t>
        </is>
      </c>
      <c r="B13" s="22" t="inlineStr">
        <is>
          <t>connected</t>
        </is>
      </c>
      <c r="C13" s="22" t="inlineStr">
        <is>
          <t>green</t>
        </is>
      </c>
      <c r="D13" s="21" t="inlineStr">
        <is>
          <t>DC-Lyon</t>
        </is>
      </c>
      <c r="E13" s="21" t="inlineStr">
        <is>
          <t>DR-Cluster-01</t>
        </is>
      </c>
      <c r="F13" s="21" t="inlineStr">
        <is>
          <t>5%</t>
        </is>
      </c>
      <c r="G13" s="23" t="n">
        <v>524288</v>
      </c>
      <c r="H13" s="21" t="n">
        <v>48</v>
      </c>
      <c r="I13" s="21" t="inlineStr">
        <is>
          <t>95%</t>
        </is>
      </c>
      <c r="J13" s="23" t="n">
        <v>46</v>
      </c>
      <c r="K13" s="21" t="n">
        <v>4</v>
      </c>
      <c r="L13" s="23" t="n">
        <v>30000</v>
      </c>
    </row>
    <row r="15" ht="22" customHeight="1">
      <c r="A15" s="25" t="inlineStr">
        <is>
          <t>💡  Pour ajouter des lignes : cliquer sur la dernière cellule du tableau et appuyer sur Tab — le tableau s'étend automatiquement.</t>
        </is>
      </c>
    </row>
  </sheetData>
  <mergeCells count="3">
    <mergeCell ref="A2:L2"/>
    <mergeCell ref="A15:L15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ACC1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0" customWidth="1" min="4" max="4"/>
    <col width="22" customWidth="1" min="5" max="5"/>
    <col width="13" customWidth="1" min="6" max="6"/>
    <col width="14" customWidth="1" min="7" max="7"/>
    <col width="14" customWidth="1" min="8" max="8"/>
    <col width="13" customWidth="1" min="9" max="9"/>
  </cols>
  <sheetData>
    <row r="1" ht="48" customHeight="1">
      <c r="A1" s="1" t="inlineStr">
        <is>
          <t>💾  DATASTORES – Données brutes vCenter 8</t>
        </is>
      </c>
    </row>
    <row r="2" ht="14" customHeight="1">
      <c r="A2" s="2" t="inlineStr">
        <is>
          <t>⚠️  Coller vos données à partir de A4  |  Ligne 3 = en-têtes (ne pas modifier)  |  Tableau extensible sans limite</t>
        </is>
      </c>
    </row>
    <row r="3" ht="26" customHeight="1">
      <c r="A3" s="26" t="inlineStr">
        <is>
          <t>Name</t>
        </is>
      </c>
      <c r="B3" s="26" t="inlineStr">
        <is>
          <t>Cluster</t>
        </is>
      </c>
      <c r="C3" s="26" t="inlineStr">
        <is>
          <t>Status</t>
        </is>
      </c>
      <c r="D3" s="26" t="inlineStr">
        <is>
          <t>Type</t>
        </is>
      </c>
      <c r="E3" s="26" t="inlineStr">
        <is>
          <t>Datastore cluster</t>
        </is>
      </c>
      <c r="F3" s="26" t="inlineStr">
        <is>
          <t>Capacity TB</t>
        </is>
      </c>
      <c r="G3" s="26" t="inlineStr">
        <is>
          <t>Capacity</t>
        </is>
      </c>
      <c r="H3" s="26" t="inlineStr">
        <is>
          <t>Free</t>
        </is>
      </c>
      <c r="I3" s="26" t="inlineStr">
        <is>
          <t>FreeSize</t>
        </is>
      </c>
    </row>
    <row r="4" ht="18" customHeight="1">
      <c r="A4" s="21" t="inlineStr">
        <is>
          <t>PROD-DS-SAN-01</t>
        </is>
      </c>
      <c r="B4" s="21" t="inlineStr">
        <is>
          <t>PROD-Cluster-01</t>
        </is>
      </c>
      <c r="C4" s="22" t="inlineStr">
        <is>
          <t>green</t>
        </is>
      </c>
      <c r="D4" s="21" t="inlineStr">
        <is>
          <t>VMFS</t>
        </is>
      </c>
      <c r="E4" s="21" t="inlineStr">
        <is>
          <t>PROD-DsCluster</t>
        </is>
      </c>
      <c r="F4" s="27" t="n">
        <v>10</v>
      </c>
      <c r="G4" s="23" t="n">
        <v>10240</v>
      </c>
      <c r="H4" s="23" t="n">
        <v>2800</v>
      </c>
      <c r="I4" s="27" t="n">
        <v>2.7</v>
      </c>
    </row>
    <row r="5" ht="18" customHeight="1">
      <c r="A5" s="21" t="inlineStr">
        <is>
          <t>PROD-DS-SAN-02</t>
        </is>
      </c>
      <c r="B5" s="21" t="inlineStr">
        <is>
          <t>PROD-Cluster-01</t>
        </is>
      </c>
      <c r="C5" s="24" t="inlineStr">
        <is>
          <t>yellow</t>
        </is>
      </c>
      <c r="D5" s="21" t="inlineStr">
        <is>
          <t>VMFS</t>
        </is>
      </c>
      <c r="E5" s="21" t="inlineStr">
        <is>
          <t>PROD-DsCluster</t>
        </is>
      </c>
      <c r="F5" s="27" t="n">
        <v>10</v>
      </c>
      <c r="G5" s="23" t="n">
        <v>10240</v>
      </c>
      <c r="H5" s="23" t="n">
        <v>1100</v>
      </c>
      <c r="I5" s="27" t="n">
        <v>1.1</v>
      </c>
    </row>
    <row r="6" ht="18" customHeight="1">
      <c r="A6" s="21" t="inlineStr">
        <is>
          <t>PROD-DS-NFS-01</t>
        </is>
      </c>
      <c r="B6" s="21" t="inlineStr">
        <is>
          <t>PROD-Cluster-01</t>
        </is>
      </c>
      <c r="C6" s="22" t="inlineStr">
        <is>
          <t>green</t>
        </is>
      </c>
      <c r="D6" s="21" t="inlineStr">
        <is>
          <t>NFS</t>
        </is>
      </c>
      <c r="E6" s="21" t="inlineStr"/>
      <c r="F6" s="27" t="n">
        <v>5</v>
      </c>
      <c r="G6" s="23" t="n">
        <v>5120</v>
      </c>
      <c r="H6" s="23" t="n">
        <v>1800</v>
      </c>
      <c r="I6" s="27" t="n">
        <v>1.8</v>
      </c>
    </row>
    <row r="7" ht="18" customHeight="1">
      <c r="A7" s="21" t="inlineStr">
        <is>
          <t>PROD-DS-SAN-03</t>
        </is>
      </c>
      <c r="B7" s="21" t="inlineStr">
        <is>
          <t>PROD-Cluster-02</t>
        </is>
      </c>
      <c r="C7" s="22" t="inlineStr">
        <is>
          <t>green</t>
        </is>
      </c>
      <c r="D7" s="21" t="inlineStr">
        <is>
          <t>VMFS</t>
        </is>
      </c>
      <c r="E7" s="21" t="inlineStr">
        <is>
          <t>PROD-DsCluster-2</t>
        </is>
      </c>
      <c r="F7" s="27" t="n">
        <v>8</v>
      </c>
      <c r="G7" s="23" t="n">
        <v>8192</v>
      </c>
      <c r="H7" s="23" t="n">
        <v>3500</v>
      </c>
      <c r="I7" s="27" t="n">
        <v>3.4</v>
      </c>
    </row>
    <row r="8" ht="18" customHeight="1">
      <c r="A8" s="21" t="inlineStr">
        <is>
          <t>PROD-DS-SAN-04</t>
        </is>
      </c>
      <c r="B8" s="21" t="inlineStr">
        <is>
          <t>PROD-Cluster-02</t>
        </is>
      </c>
      <c r="C8" s="28" t="inlineStr">
        <is>
          <t>red</t>
        </is>
      </c>
      <c r="D8" s="21" t="inlineStr">
        <is>
          <t>VMFS</t>
        </is>
      </c>
      <c r="E8" s="21" t="inlineStr">
        <is>
          <t>PROD-DsCluster-2</t>
        </is>
      </c>
      <c r="F8" s="27" t="n">
        <v>8</v>
      </c>
      <c r="G8" s="23" t="n">
        <v>8192</v>
      </c>
      <c r="H8" s="23" t="n">
        <v>400</v>
      </c>
      <c r="I8" s="27" t="n">
        <v>0.4</v>
      </c>
    </row>
    <row r="9" ht="18" customHeight="1">
      <c r="A9" s="21" t="inlineStr">
        <is>
          <t>PROD-DS-VSAN-01</t>
        </is>
      </c>
      <c r="B9" s="21" t="inlineStr">
        <is>
          <t>PROD-Cluster-02</t>
        </is>
      </c>
      <c r="C9" s="22" t="inlineStr">
        <is>
          <t>green</t>
        </is>
      </c>
      <c r="D9" s="21" t="inlineStr">
        <is>
          <t>vSAN</t>
        </is>
      </c>
      <c r="E9" s="21" t="inlineStr"/>
      <c r="F9" s="27" t="n">
        <v>15</v>
      </c>
      <c r="G9" s="23" t="n">
        <v>15360</v>
      </c>
      <c r="H9" s="23" t="n">
        <v>6000</v>
      </c>
      <c r="I9" s="27" t="n">
        <v>5.9</v>
      </c>
    </row>
    <row r="10" ht="18" customHeight="1">
      <c r="A10" s="21" t="inlineStr">
        <is>
          <t>DEV-DS-NFS-01</t>
        </is>
      </c>
      <c r="B10" s="21" t="inlineStr">
        <is>
          <t>DEV-Cluster-01</t>
        </is>
      </c>
      <c r="C10" s="22" t="inlineStr">
        <is>
          <t>green</t>
        </is>
      </c>
      <c r="D10" s="21" t="inlineStr">
        <is>
          <t>NFS</t>
        </is>
      </c>
      <c r="E10" s="21" t="inlineStr"/>
      <c r="F10" s="27" t="n">
        <v>4</v>
      </c>
      <c r="G10" s="23" t="n">
        <v>4096</v>
      </c>
      <c r="H10" s="23" t="n">
        <v>2100</v>
      </c>
      <c r="I10" s="27" t="n">
        <v>2</v>
      </c>
    </row>
    <row r="11" ht="18" customHeight="1">
      <c r="A11" s="21" t="inlineStr">
        <is>
          <t>DEV-DS-SAN-01</t>
        </is>
      </c>
      <c r="B11" s="21" t="inlineStr">
        <is>
          <t>DEV-Cluster-01</t>
        </is>
      </c>
      <c r="C11" s="22" t="inlineStr">
        <is>
          <t>green</t>
        </is>
      </c>
      <c r="D11" s="21" t="inlineStr">
        <is>
          <t>VMFS</t>
        </is>
      </c>
      <c r="E11" s="21" t="inlineStr"/>
      <c r="F11" s="27" t="n">
        <v>2</v>
      </c>
      <c r="G11" s="23" t="n">
        <v>2048</v>
      </c>
      <c r="H11" s="23" t="n">
        <v>800</v>
      </c>
      <c r="I11" s="27" t="n">
        <v>0.8</v>
      </c>
    </row>
    <row r="12" ht="18" customHeight="1">
      <c r="A12" s="21" t="inlineStr">
        <is>
          <t>ARCHIVE-DS-01</t>
        </is>
      </c>
      <c r="B12" s="21" t="inlineStr">
        <is>
          <t>DEV-Cluster-01</t>
        </is>
      </c>
      <c r="C12" s="22" t="inlineStr">
        <is>
          <t>green</t>
        </is>
      </c>
      <c r="D12" s="21" t="inlineStr">
        <is>
          <t>NFS</t>
        </is>
      </c>
      <c r="E12" s="21" t="inlineStr"/>
      <c r="F12" s="27" t="n">
        <v>20</v>
      </c>
      <c r="G12" s="23" t="n">
        <v>20480</v>
      </c>
      <c r="H12" s="23" t="n">
        <v>8000</v>
      </c>
      <c r="I12" s="27" t="n">
        <v>7.8</v>
      </c>
    </row>
    <row r="13" ht="18" customHeight="1">
      <c r="A13" s="21" t="inlineStr">
        <is>
          <t>DR-DS-SAN-01</t>
        </is>
      </c>
      <c r="B13" s="21" t="inlineStr">
        <is>
          <t>DR-Cluster-01</t>
        </is>
      </c>
      <c r="C13" s="22" t="inlineStr">
        <is>
          <t>green</t>
        </is>
      </c>
      <c r="D13" s="21" t="inlineStr">
        <is>
          <t>VMFS</t>
        </is>
      </c>
      <c r="E13" s="21" t="inlineStr">
        <is>
          <t>DR-DsCluster</t>
        </is>
      </c>
      <c r="F13" s="27" t="n">
        <v>12</v>
      </c>
      <c r="G13" s="23" t="n">
        <v>12288</v>
      </c>
      <c r="H13" s="23" t="n">
        <v>9000</v>
      </c>
      <c r="I13" s="27" t="n">
        <v>8.800000000000001</v>
      </c>
    </row>
    <row r="15">
      <c r="A15" s="29" t="inlineStr">
        <is>
          <t>💡  Pour ajouter des lignes : cliquer sur la dernière cellule du tableau et appuyer sur Tab.</t>
        </is>
      </c>
    </row>
  </sheetData>
  <mergeCells count="3">
    <mergeCell ref="A15:I15"/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M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4" customWidth="1" min="4" max="4"/>
    <col width="22" customWidth="1" min="5" max="5"/>
    <col width="20" customWidth="1" min="6" max="6"/>
    <col width="18" customWidth="1" min="7" max="7"/>
    <col width="14" customWidth="1" min="8" max="8"/>
    <col width="12" customWidth="1" min="9" max="9"/>
    <col width="12" customWidth="1" min="10" max="10"/>
    <col width="14" customWidth="1" min="11" max="11"/>
    <col width="8" customWidth="1" min="12" max="12"/>
  </cols>
  <sheetData>
    <row r="1" ht="48" customHeight="1">
      <c r="A1" s="1" t="inlineStr">
        <is>
          <t>⚡  MACHINES VIRTUELLES – Données brutes vCenter 8</t>
        </is>
      </c>
    </row>
    <row r="2" ht="14" customHeight="1">
      <c r="A2" s="2" t="inlineStr">
        <is>
          <t>⚠️  Coller vos données à partir de A4  |  Ligne 3 = en-têtes (ne pas modifier)  |  Tableau extensible — prévu pour 2000+ VMs</t>
        </is>
      </c>
    </row>
    <row r="3" ht="26" customHeight="1">
      <c r="A3" s="30" t="inlineStr">
        <is>
          <t>Name</t>
        </is>
      </c>
      <c r="B3" s="30" t="inlineStr">
        <is>
          <t>State</t>
        </is>
      </c>
      <c r="C3" s="30" t="inlineStr">
        <is>
          <t>Status</t>
        </is>
      </c>
      <c r="D3" s="30" t="inlineStr">
        <is>
          <t>Host</t>
        </is>
      </c>
      <c r="E3" s="30" t="inlineStr">
        <is>
          <t>ClusterDatacenter</t>
        </is>
      </c>
      <c r="F3" s="30" t="inlineStr">
        <is>
          <t>Cluster</t>
        </is>
      </c>
      <c r="G3" s="30" t="inlineStr">
        <is>
          <t>Provisioned Space</t>
        </is>
      </c>
      <c r="H3" s="30" t="inlineStr">
        <is>
          <t>Used Space</t>
        </is>
      </c>
      <c r="I3" s="30" t="inlineStr">
        <is>
          <t>Host CPU</t>
        </is>
      </c>
      <c r="J3" s="30" t="inlineStr">
        <is>
          <t>Host Mem</t>
        </is>
      </c>
      <c r="K3" s="30" t="inlineStr">
        <is>
          <t>Active Memory</t>
        </is>
      </c>
      <c r="L3" s="30" t="inlineStr">
        <is>
          <t>CPUs</t>
        </is>
      </c>
    </row>
    <row r="4" ht="18" customHeight="1">
      <c r="A4" s="21" t="inlineStr">
        <is>
          <t>vm-web-prod-01</t>
        </is>
      </c>
      <c r="B4" s="22" t="inlineStr">
        <is>
          <t>poweredOn</t>
        </is>
      </c>
      <c r="C4" s="22" t="inlineStr">
        <is>
          <t>green</t>
        </is>
      </c>
      <c r="D4" s="21" t="inlineStr">
        <is>
          <t>esxi-prod-01.lab</t>
        </is>
      </c>
      <c r="E4" s="21" t="inlineStr">
        <is>
          <t>DC-Paris</t>
        </is>
      </c>
      <c r="F4" s="21" t="inlineStr">
        <is>
          <t>PROD-Cluster-01</t>
        </is>
      </c>
      <c r="G4" s="23" t="n">
        <v>120</v>
      </c>
      <c r="H4" s="23" t="n">
        <v>85</v>
      </c>
      <c r="I4" s="21" t="inlineStr">
        <is>
          <t>18%</t>
        </is>
      </c>
      <c r="J4" s="23" t="n">
        <v>91136</v>
      </c>
      <c r="K4" s="23" t="n">
        <v>65536</v>
      </c>
      <c r="L4" s="21" t="n">
        <v>4</v>
      </c>
    </row>
    <row r="5" ht="18" customHeight="1">
      <c r="A5" s="21" t="inlineStr">
        <is>
          <t>vm-db-prod-01</t>
        </is>
      </c>
      <c r="B5" s="22" t="inlineStr">
        <is>
          <t>poweredOn</t>
        </is>
      </c>
      <c r="C5" s="22" t="inlineStr">
        <is>
          <t>green</t>
        </is>
      </c>
      <c r="D5" s="21" t="inlineStr">
        <is>
          <t>esxi-prod-01.lab</t>
        </is>
      </c>
      <c r="E5" s="21" t="inlineStr">
        <is>
          <t>DC-Paris</t>
        </is>
      </c>
      <c r="F5" s="21" t="inlineStr">
        <is>
          <t>PROD-Cluster-01</t>
        </is>
      </c>
      <c r="G5" s="23" t="n">
        <v>500</v>
      </c>
      <c r="H5" s="23" t="n">
        <v>420</v>
      </c>
      <c r="I5" s="21" t="inlineStr">
        <is>
          <t>62%</t>
        </is>
      </c>
      <c r="J5" s="23" t="n">
        <v>393216</v>
      </c>
      <c r="K5" s="23" t="n">
        <v>280000</v>
      </c>
      <c r="L5" s="21" t="n">
        <v>8</v>
      </c>
    </row>
    <row r="6" ht="18" customHeight="1">
      <c r="A6" s="21" t="inlineStr">
        <is>
          <t>vm-app-prod-01</t>
        </is>
      </c>
      <c r="B6" s="22" t="inlineStr">
        <is>
          <t>poweredOn</t>
        </is>
      </c>
      <c r="C6" s="22" t="inlineStr">
        <is>
          <t>green</t>
        </is>
      </c>
      <c r="D6" s="21" t="inlineStr">
        <is>
          <t>esxi-prod-02.lab</t>
        </is>
      </c>
      <c r="E6" s="21" t="inlineStr">
        <is>
          <t>DC-Paris</t>
        </is>
      </c>
      <c r="F6" s="21" t="inlineStr">
        <is>
          <t>PROD-Cluster-01</t>
        </is>
      </c>
      <c r="G6" s="23" t="n">
        <v>200</v>
      </c>
      <c r="H6" s="23" t="n">
        <v>150</v>
      </c>
      <c r="I6" s="21" t="inlineStr">
        <is>
          <t>28%</t>
        </is>
      </c>
      <c r="J6" s="23" t="n">
        <v>245760</v>
      </c>
      <c r="K6" s="23" t="n">
        <v>131072</v>
      </c>
      <c r="L6" s="21" t="n">
        <v>4</v>
      </c>
    </row>
    <row r="7" ht="18" customHeight="1">
      <c r="A7" s="21" t="inlineStr">
        <is>
          <t>vm-app-prod-02</t>
        </is>
      </c>
      <c r="B7" s="22" t="inlineStr">
        <is>
          <t>poweredOn</t>
        </is>
      </c>
      <c r="C7" s="24" t="inlineStr">
        <is>
          <t>yellow</t>
        </is>
      </c>
      <c r="D7" s="21" t="inlineStr">
        <is>
          <t>esxi-prod-02.lab</t>
        </is>
      </c>
      <c r="E7" s="21" t="inlineStr">
        <is>
          <t>DC-Paris</t>
        </is>
      </c>
      <c r="F7" s="21" t="inlineStr">
        <is>
          <t>PROD-Cluster-01</t>
        </is>
      </c>
      <c r="G7" s="23" t="n">
        <v>200</v>
      </c>
      <c r="H7" s="23" t="n">
        <v>160</v>
      </c>
      <c r="I7" s="21" t="inlineStr">
        <is>
          <t>31%</t>
        </is>
      </c>
      <c r="J7" s="23" t="n">
        <v>245760</v>
      </c>
      <c r="K7" s="23" t="n">
        <v>131072</v>
      </c>
      <c r="L7" s="21" t="n">
        <v>4</v>
      </c>
    </row>
    <row r="8" ht="18" customHeight="1">
      <c r="A8" s="21" t="inlineStr">
        <is>
          <t>vm-api-prod-01</t>
        </is>
      </c>
      <c r="B8" s="22" t="inlineStr">
        <is>
          <t>poweredOn</t>
        </is>
      </c>
      <c r="C8" s="22" t="inlineStr">
        <is>
          <t>green</t>
        </is>
      </c>
      <c r="D8" s="21" t="inlineStr">
        <is>
          <t>esxi-prod-03.lab</t>
        </is>
      </c>
      <c r="E8" s="21" t="inlineStr">
        <is>
          <t>DC-Paris</t>
        </is>
      </c>
      <c r="F8" s="21" t="inlineStr">
        <is>
          <t>PROD-Cluster-01</t>
        </is>
      </c>
      <c r="G8" s="23" t="n">
        <v>80</v>
      </c>
      <c r="H8" s="23" t="n">
        <v>55</v>
      </c>
      <c r="I8" s="21" t="inlineStr">
        <is>
          <t>10%</t>
        </is>
      </c>
      <c r="J8" s="23" t="n">
        <v>180000</v>
      </c>
      <c r="K8" s="23" t="n">
        <v>65536</v>
      </c>
      <c r="L8" s="21" t="n">
        <v>2</v>
      </c>
    </row>
    <row r="9" ht="18" customHeight="1">
      <c r="A9" s="21" t="inlineStr">
        <is>
          <t>vm-db-prod-02</t>
        </is>
      </c>
      <c r="B9" s="22" t="inlineStr">
        <is>
          <t>poweredOn</t>
        </is>
      </c>
      <c r="C9" s="22" t="inlineStr">
        <is>
          <t>green</t>
        </is>
      </c>
      <c r="D9" s="21" t="inlineStr">
        <is>
          <t>esxi-prod-04.lab</t>
        </is>
      </c>
      <c r="E9" s="21" t="inlineStr">
        <is>
          <t>DC-Paris</t>
        </is>
      </c>
      <c r="F9" s="21" t="inlineStr">
        <is>
          <t>PROD-Cluster-02</t>
        </is>
      </c>
      <c r="G9" s="23" t="n">
        <v>800</v>
      </c>
      <c r="H9" s="23" t="n">
        <v>650</v>
      </c>
      <c r="I9" s="21" t="inlineStr">
        <is>
          <t>55%</t>
        </is>
      </c>
      <c r="J9" s="23" t="n">
        <v>262144</v>
      </c>
      <c r="K9" s="23" t="n">
        <v>196608</v>
      </c>
      <c r="L9" s="21" t="n">
        <v>8</v>
      </c>
    </row>
    <row r="10" ht="18" customHeight="1">
      <c r="A10" s="21" t="inlineStr">
        <is>
          <t>vm-erp-prod-01</t>
        </is>
      </c>
      <c r="B10" s="22" t="inlineStr">
        <is>
          <t>poweredOn</t>
        </is>
      </c>
      <c r="C10" s="22" t="inlineStr">
        <is>
          <t>green</t>
        </is>
      </c>
      <c r="D10" s="21" t="inlineStr">
        <is>
          <t>esxi-prod-04.lab</t>
        </is>
      </c>
      <c r="E10" s="21" t="inlineStr">
        <is>
          <t>DC-Paris</t>
        </is>
      </c>
      <c r="F10" s="21" t="inlineStr">
        <is>
          <t>PROD-Cluster-02</t>
        </is>
      </c>
      <c r="G10" s="23" t="n">
        <v>600</v>
      </c>
      <c r="H10" s="23" t="n">
        <v>520</v>
      </c>
      <c r="I10" s="21" t="inlineStr">
        <is>
          <t>45%</t>
        </is>
      </c>
      <c r="J10" s="23" t="n">
        <v>262144</v>
      </c>
      <c r="K10" s="23" t="n">
        <v>180000</v>
      </c>
      <c r="L10" s="21" t="n">
        <v>16</v>
      </c>
    </row>
    <row r="11" ht="18" customHeight="1">
      <c r="A11" s="21" t="inlineStr">
        <is>
          <t>vm-backup-prod-01</t>
        </is>
      </c>
      <c r="B11" s="22" t="inlineStr">
        <is>
          <t>poweredOn</t>
        </is>
      </c>
      <c r="C11" s="22" t="inlineStr">
        <is>
          <t>green</t>
        </is>
      </c>
      <c r="D11" s="21" t="inlineStr">
        <is>
          <t>esxi-prod-05.lab</t>
        </is>
      </c>
      <c r="E11" s="21" t="inlineStr">
        <is>
          <t>DC-Paris</t>
        </is>
      </c>
      <c r="F11" s="21" t="inlineStr">
        <is>
          <t>PROD-Cluster-02</t>
        </is>
      </c>
      <c r="G11" s="23" t="n">
        <v>2000</v>
      </c>
      <c r="H11" s="23" t="n">
        <v>1800</v>
      </c>
      <c r="I11" s="21" t="inlineStr">
        <is>
          <t>8%</t>
        </is>
      </c>
      <c r="J11" s="23" t="n">
        <v>262144</v>
      </c>
      <c r="K11" s="23" t="n">
        <v>32768</v>
      </c>
      <c r="L11" s="21" t="n">
        <v>4</v>
      </c>
    </row>
    <row r="12" ht="18" customHeight="1">
      <c r="A12" s="21" t="inlineStr">
        <is>
          <t>vm-erp-prod-02</t>
        </is>
      </c>
      <c r="B12" s="22" t="inlineStr">
        <is>
          <t>poweredOn</t>
        </is>
      </c>
      <c r="C12" s="22" t="inlineStr">
        <is>
          <t>green</t>
        </is>
      </c>
      <c r="D12" s="21" t="inlineStr">
        <is>
          <t>esxi-prod-05.lab</t>
        </is>
      </c>
      <c r="E12" s="21" t="inlineStr">
        <is>
          <t>DC-Paris</t>
        </is>
      </c>
      <c r="F12" s="21" t="inlineStr">
        <is>
          <t>PROD-Cluster-02</t>
        </is>
      </c>
      <c r="G12" s="23" t="n">
        <v>400</v>
      </c>
      <c r="H12" s="23" t="n">
        <v>350</v>
      </c>
      <c r="I12" s="21" t="inlineStr">
        <is>
          <t>38%</t>
        </is>
      </c>
      <c r="J12" s="23" t="n">
        <v>262144</v>
      </c>
      <c r="K12" s="23" t="n">
        <v>150000</v>
      </c>
      <c r="L12" s="21" t="n">
        <v>8</v>
      </c>
    </row>
    <row r="13" ht="18" customHeight="1">
      <c r="A13" s="21" t="inlineStr">
        <is>
          <t>vm-middleware-01</t>
        </is>
      </c>
      <c r="B13" s="22" t="inlineStr">
        <is>
          <t>poweredOn</t>
        </is>
      </c>
      <c r="C13" s="22" t="inlineStr">
        <is>
          <t>green</t>
        </is>
      </c>
      <c r="D13" s="21" t="inlineStr">
        <is>
          <t>esxi-prod-06.lab</t>
        </is>
      </c>
      <c r="E13" s="21" t="inlineStr">
        <is>
          <t>DC-Paris</t>
        </is>
      </c>
      <c r="F13" s="21" t="inlineStr">
        <is>
          <t>PROD-Cluster-02</t>
        </is>
      </c>
      <c r="G13" s="23" t="n">
        <v>180</v>
      </c>
      <c r="H13" s="23" t="n">
        <v>120</v>
      </c>
      <c r="I13" s="21" t="inlineStr">
        <is>
          <t>22%</t>
        </is>
      </c>
      <c r="J13" s="23" t="n">
        <v>262144</v>
      </c>
      <c r="K13" s="23" t="n">
        <v>98304</v>
      </c>
      <c r="L13" s="21" t="n">
        <v>4</v>
      </c>
    </row>
    <row r="14" ht="18" customHeight="1">
      <c r="A14" s="21" t="inlineStr">
        <is>
          <t>vm-dev-01</t>
        </is>
      </c>
      <c r="B14" s="22" t="inlineStr">
        <is>
          <t>poweredOn</t>
        </is>
      </c>
      <c r="C14" s="22" t="inlineStr">
        <is>
          <t>green</t>
        </is>
      </c>
      <c r="D14" s="21" t="inlineStr">
        <is>
          <t>esxi-dev-01.lab</t>
        </is>
      </c>
      <c r="E14" s="21" t="inlineStr">
        <is>
          <t>DC-Nantes</t>
        </is>
      </c>
      <c r="F14" s="21" t="inlineStr">
        <is>
          <t>DEV-Cluster-01</t>
        </is>
      </c>
      <c r="G14" s="23" t="n">
        <v>80</v>
      </c>
      <c r="H14" s="23" t="n">
        <v>40</v>
      </c>
      <c r="I14" s="21" t="inlineStr">
        <is>
          <t>5%</t>
        </is>
      </c>
      <c r="J14" s="23" t="n">
        <v>45000</v>
      </c>
      <c r="K14" s="23" t="n">
        <v>16384</v>
      </c>
      <c r="L14" s="21" t="n">
        <v>2</v>
      </c>
    </row>
    <row r="15" ht="18" customHeight="1">
      <c r="A15" s="21" t="inlineStr">
        <is>
          <t>vm-dev-02</t>
        </is>
      </c>
      <c r="B15" s="31" t="inlineStr">
        <is>
          <t>poweredOff</t>
        </is>
      </c>
      <c r="C15" s="22" t="inlineStr">
        <is>
          <t>green</t>
        </is>
      </c>
      <c r="D15" s="21" t="inlineStr">
        <is>
          <t>esxi-dev-01.lab</t>
        </is>
      </c>
      <c r="E15" s="21" t="inlineStr">
        <is>
          <t>DC-Nantes</t>
        </is>
      </c>
      <c r="F15" s="21" t="inlineStr">
        <is>
          <t>DEV-Cluster-01</t>
        </is>
      </c>
      <c r="G15" s="23" t="n">
        <v>120</v>
      </c>
      <c r="H15" s="23" t="n">
        <v>100</v>
      </c>
      <c r="I15" s="21" t="inlineStr">
        <is>
          <t>0%</t>
        </is>
      </c>
      <c r="J15" s="23" t="n">
        <v>0</v>
      </c>
      <c r="K15" s="23" t="n">
        <v>0</v>
      </c>
      <c r="L15" s="21" t="n">
        <v>4</v>
      </c>
    </row>
    <row r="16" ht="18" customHeight="1">
      <c r="A16" s="21" t="inlineStr">
        <is>
          <t>vm-test-01</t>
        </is>
      </c>
      <c r="B16" s="22" t="inlineStr">
        <is>
          <t>poweredOn</t>
        </is>
      </c>
      <c r="C16" s="24" t="inlineStr">
        <is>
          <t>yellow</t>
        </is>
      </c>
      <c r="D16" s="21" t="inlineStr">
        <is>
          <t>esxi-dev-02.lab</t>
        </is>
      </c>
      <c r="E16" s="21" t="inlineStr">
        <is>
          <t>DC-Nantes</t>
        </is>
      </c>
      <c r="F16" s="21" t="inlineStr">
        <is>
          <t>DEV-Cluster-01</t>
        </is>
      </c>
      <c r="G16" s="23" t="n">
        <v>60</v>
      </c>
      <c r="H16" s="23" t="n">
        <v>30</v>
      </c>
      <c r="I16" s="21" t="inlineStr">
        <is>
          <t>3%</t>
        </is>
      </c>
      <c r="J16" s="23" t="n">
        <v>35000</v>
      </c>
      <c r="K16" s="23" t="n">
        <v>10000</v>
      </c>
      <c r="L16" s="21" t="n">
        <v>2</v>
      </c>
    </row>
    <row r="17" ht="18" customHeight="1">
      <c r="A17" s="21" t="inlineStr">
        <is>
          <t>vm-test-02</t>
        </is>
      </c>
      <c r="B17" s="31" t="inlineStr">
        <is>
          <t>poweredOff</t>
        </is>
      </c>
      <c r="C17" s="28" t="inlineStr">
        <is>
          <t>red</t>
        </is>
      </c>
      <c r="D17" s="21" t="inlineStr">
        <is>
          <t>esxi-dev-02.lab</t>
        </is>
      </c>
      <c r="E17" s="21" t="inlineStr">
        <is>
          <t>DC-Nantes</t>
        </is>
      </c>
      <c r="F17" s="21" t="inlineStr">
        <is>
          <t>DEV-Cluster-01</t>
        </is>
      </c>
      <c r="G17" s="23" t="n">
        <v>60</v>
      </c>
      <c r="H17" s="23" t="n">
        <v>25</v>
      </c>
      <c r="I17" s="21" t="inlineStr">
        <is>
          <t>0%</t>
        </is>
      </c>
      <c r="J17" s="23" t="n">
        <v>0</v>
      </c>
      <c r="K17" s="23" t="n">
        <v>0</v>
      </c>
      <c r="L17" s="21" t="n">
        <v>2</v>
      </c>
    </row>
    <row r="18" ht="18" customHeight="1">
      <c r="A18" s="21" t="inlineStr">
        <is>
          <t>vm-ci-01</t>
        </is>
      </c>
      <c r="B18" s="22" t="inlineStr">
        <is>
          <t>poweredOn</t>
        </is>
      </c>
      <c r="C18" s="22" t="inlineStr">
        <is>
          <t>green</t>
        </is>
      </c>
      <c r="D18" s="21" t="inlineStr">
        <is>
          <t>esxi-dev-03.lab</t>
        </is>
      </c>
      <c r="E18" s="21" t="inlineStr">
        <is>
          <t>DC-Nantes</t>
        </is>
      </c>
      <c r="F18" s="21" t="inlineStr">
        <is>
          <t>DEV-Cluster-01</t>
        </is>
      </c>
      <c r="G18" s="23" t="n">
        <v>200</v>
      </c>
      <c r="H18" s="23" t="n">
        <v>150</v>
      </c>
      <c r="I18" s="21" t="inlineStr">
        <is>
          <t>15%</t>
        </is>
      </c>
      <c r="J18" s="23" t="n">
        <v>28000</v>
      </c>
      <c r="K18" s="23" t="n">
        <v>20000</v>
      </c>
      <c r="L18" s="21" t="n">
        <v>4</v>
      </c>
    </row>
    <row r="19" ht="18" customHeight="1">
      <c r="A19" s="21" t="inlineStr">
        <is>
          <t>vm-dr-01</t>
        </is>
      </c>
      <c r="B19" s="31" t="inlineStr">
        <is>
          <t>poweredOff</t>
        </is>
      </c>
      <c r="C19" s="22" t="inlineStr">
        <is>
          <t>green</t>
        </is>
      </c>
      <c r="D19" s="21" t="inlineStr">
        <is>
          <t>esxi-dr-01.lab</t>
        </is>
      </c>
      <c r="E19" s="21" t="inlineStr">
        <is>
          <t>DC-Lyon</t>
        </is>
      </c>
      <c r="F19" s="21" t="inlineStr">
        <is>
          <t>DR-Cluster-01</t>
        </is>
      </c>
      <c r="G19" s="23" t="n">
        <v>500</v>
      </c>
      <c r="H19" s="23" t="n">
        <v>480</v>
      </c>
      <c r="I19" s="21" t="inlineStr">
        <is>
          <t>0%</t>
        </is>
      </c>
      <c r="J19" s="23" t="n">
        <v>0</v>
      </c>
      <c r="K19" s="23" t="n">
        <v>0</v>
      </c>
      <c r="L19" s="21" t="n">
        <v>8</v>
      </c>
    </row>
    <row r="20" ht="18" customHeight="1">
      <c r="A20" s="21" t="inlineStr">
        <is>
          <t>vm-dr-02</t>
        </is>
      </c>
      <c r="B20" s="31" t="inlineStr">
        <is>
          <t>poweredOff</t>
        </is>
      </c>
      <c r="C20" s="22" t="inlineStr">
        <is>
          <t>green</t>
        </is>
      </c>
      <c r="D20" s="21" t="inlineStr">
        <is>
          <t>esxi-dr-01.lab</t>
        </is>
      </c>
      <c r="E20" s="21" t="inlineStr">
        <is>
          <t>DC-Lyon</t>
        </is>
      </c>
      <c r="F20" s="21" t="inlineStr">
        <is>
          <t>DR-Cluster-01</t>
        </is>
      </c>
      <c r="G20" s="23" t="n">
        <v>300</v>
      </c>
      <c r="H20" s="23" t="n">
        <v>280</v>
      </c>
      <c r="I20" s="21" t="inlineStr">
        <is>
          <t>0%</t>
        </is>
      </c>
      <c r="J20" s="23" t="n">
        <v>0</v>
      </c>
      <c r="K20" s="23" t="n">
        <v>0</v>
      </c>
      <c r="L20" s="21" t="n">
        <v>4</v>
      </c>
    </row>
    <row r="22">
      <c r="A22" s="32" t="inlineStr">
        <is>
          <t>💡  Tableau prévu pour 2000+ VMs. Coller vos données à partir de A4 — le tableau s'agrandit automatiquement.</t>
        </is>
      </c>
    </row>
  </sheetData>
  <mergeCells count="3">
    <mergeCell ref="A2:M2"/>
    <mergeCell ref="A22:L2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Q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48" customHeight="1">
      <c r="A1" s="1" t="inlineStr">
        <is>
          <t>📊  ANALYSE CAPACITÉ – COMPUTE (CPU &amp; RAM)</t>
        </is>
      </c>
    </row>
    <row r="2" ht="14" customHeight="1">
      <c r="A2" s="2" t="inlineStr">
        <is>
          <t>Alimenté automatiquement par 🖥️ RAW_Hosts  |  Recalcul instantané</t>
        </is>
      </c>
    </row>
    <row r="4" ht="20" customHeight="1">
      <c r="A4" s="3" t="inlineStr">
        <is>
          <t xml:space="preserve">  📊  INDICATEURS GLOBAUX</t>
        </is>
      </c>
    </row>
    <row r="5" ht="18" customHeight="1">
      <c r="A5" s="4" t="inlineStr">
        <is>
          <t>Hosts Connectés</t>
        </is>
      </c>
      <c r="B5" s="33" t="n"/>
      <c r="D5" s="4" t="inlineStr">
        <is>
          <t>Total CPUs</t>
        </is>
      </c>
      <c r="E5" s="33" t="n"/>
      <c r="G5" s="34" t="inlineStr">
        <is>
          <t>CPU Consommé moy.</t>
        </is>
      </c>
      <c r="H5" s="33" t="n"/>
      <c r="J5" s="35" t="inlineStr">
        <is>
          <t>Cœurs CPU libres</t>
        </is>
      </c>
      <c r="K5" s="33" t="n"/>
      <c r="M5" s="4" t="inlineStr">
        <is>
          <t>RAM Totale</t>
        </is>
      </c>
      <c r="N5" s="33" t="n"/>
      <c r="P5" s="36" t="inlineStr">
        <is>
          <t>Hosts Warning/Err</t>
        </is>
      </c>
      <c r="Q5" s="33" t="n"/>
    </row>
    <row r="6" ht="38" customHeight="1">
      <c r="A6" s="37">
        <f>COUNTIF('🖥️ RAW_Hosts'!B4:B5000,"connected")</f>
        <v/>
      </c>
      <c r="B6" s="33" t="n"/>
      <c r="D6" s="37">
        <f>SUMIF('🖥️ RAW_Hosts'!B4:B5000,"connected",'🖥️ RAW_Hosts'!H4:H5000)</f>
        <v/>
      </c>
      <c r="E6" s="33" t="n"/>
      <c r="G6" s="38">
        <f>IFERROR(AVERAGEIF('🖥️ RAW_Hosts'!B4:B5000,"connected",'🖥️ RAW_Hosts'!F4:F5000),0)</f>
        <v/>
      </c>
      <c r="H6" s="33" t="n"/>
      <c r="J6" s="39">
        <f>SUMIF('🖥️ RAW_Hosts'!B4:B5000,"connected",'🖥️ RAW_Hosts'!J4:J5000)</f>
        <v/>
      </c>
      <c r="K6" s="33" t="n"/>
      <c r="M6" s="37">
        <f>IFERROR(ROUND(SUMIF('🖥️ RAW_Hosts'!B4:B5000,"connected",'🖥️ RAW_Hosts'!G4:G5000)/1024,0),0)</f>
        <v/>
      </c>
      <c r="N6" s="33" t="n"/>
      <c r="P6" s="40">
        <f>COUNTIF('🖥️ RAW_Hosts'!C4:C5000,"yellow")+COUNTIF('🖥️ RAW_Hosts'!C4:C5000,"red")</f>
        <v/>
      </c>
      <c r="Q6" s="33" t="n"/>
    </row>
    <row r="7" ht="14" customHeight="1">
      <c r="A7" s="41" t="inlineStr">
        <is>
          <t>actifs</t>
        </is>
      </c>
      <c r="B7" s="33" t="n"/>
      <c r="D7" s="41" t="inlineStr">
        <is>
          <t>CPUs logiques</t>
        </is>
      </c>
      <c r="E7" s="33" t="n"/>
      <c r="G7" s="42" t="inlineStr">
        <is>
          <t>moy. used %</t>
        </is>
      </c>
      <c r="H7" s="33" t="n"/>
      <c r="J7" s="43" t="inlineStr">
        <is>
          <t>cores libres</t>
        </is>
      </c>
      <c r="K7" s="33" t="n"/>
      <c r="M7" s="41" t="inlineStr">
        <is>
          <t>GB total</t>
        </is>
      </c>
      <c r="N7" s="33" t="n"/>
      <c r="P7" s="44" t="inlineStr">
        <is>
          <t>⚠️ à contrôler</t>
        </is>
      </c>
      <c r="Q7" s="33" t="n"/>
    </row>
    <row r="9" ht="20" customHeight="1">
      <c r="A9" s="45" t="inlineStr">
        <is>
          <t xml:space="preserve">  📋  DÉTAIL PAR HOST  (alimenté depuis 🖥️ RAW_Hosts)</t>
        </is>
      </c>
    </row>
    <row r="10" ht="24" customHeight="1">
      <c r="A10" s="20" t="inlineStr">
        <is>
          <t>Name</t>
        </is>
      </c>
      <c r="B10" s="20" t="inlineStr">
        <is>
          <t>State</t>
        </is>
      </c>
      <c r="C10" s="20" t="inlineStr">
        <is>
          <t>Status</t>
        </is>
      </c>
      <c r="D10" s="20" t="inlineStr">
        <is>
          <t>ClusterDC</t>
        </is>
      </c>
      <c r="E10" s="20" t="inlineStr">
        <is>
          <t>Cluster</t>
        </is>
      </c>
      <c r="F10" s="20" t="inlineStr">
        <is>
          <t>Consumed CPU %</t>
        </is>
      </c>
      <c r="G10" s="20" t="inlineStr">
        <is>
          <t>CPU Free %</t>
        </is>
      </c>
      <c r="H10" s="20" t="inlineStr">
        <is>
          <t>CPU free cores</t>
        </is>
      </c>
      <c r="I10" s="20" t="inlineStr">
        <is>
          <t>Total CPUs</t>
        </is>
      </c>
      <c r="J10" s="20" t="inlineStr">
        <is>
          <t>Statut CPU</t>
        </is>
      </c>
      <c r="K10" s="20" t="inlineStr">
        <is>
          <t>Mem Total (MB)</t>
        </is>
      </c>
      <c r="L10" s="20" t="inlineStr">
        <is>
          <t>Mem Total (GB)</t>
        </is>
      </c>
      <c r="M10" s="20" t="inlineStr">
        <is>
          <t>RAM (MB)</t>
        </is>
      </c>
      <c r="N10" s="20" t="inlineStr">
        <is>
          <t>Statut RAM</t>
        </is>
      </c>
      <c r="O10" s="20" t="inlineStr">
        <is>
          <t>NICs</t>
        </is>
      </c>
      <c r="P10" s="20" t="inlineStr">
        <is>
          <t>Alerte</t>
        </is>
      </c>
    </row>
    <row r="11" ht="18" customHeight="1">
      <c r="A11" s="46">
        <f>'🖥️ RAW_Hosts'!A4</f>
        <v/>
      </c>
      <c r="B11" s="46">
        <f>'🖥️ RAW_Hosts'!B4</f>
        <v/>
      </c>
      <c r="C11" s="46">
        <f>'🖥️ RAW_Hosts'!C4</f>
        <v/>
      </c>
      <c r="D11" s="46">
        <f>'🖥️ RAW_Hosts'!D4</f>
        <v/>
      </c>
      <c r="E11" s="46">
        <f>'🖥️ RAW_Hosts'!E4</f>
        <v/>
      </c>
      <c r="F11" s="46">
        <f>'🖥️ RAW_Hosts'!F4</f>
        <v/>
      </c>
      <c r="G11" s="46">
        <f>'🖥️ RAW_Hosts'!I4</f>
        <v/>
      </c>
      <c r="H11" s="47">
        <f>'🖥️ RAW_Hosts'!J4</f>
        <v/>
      </c>
      <c r="I11" s="47">
        <f>'🖥️ RAW_Hosts'!H4</f>
        <v/>
      </c>
      <c r="J11" s="46">
        <f>IF(ISNUMBER(F11),IF(F11&lt;0.7,"✅ OK",IF(F11&lt;0.85,"⚠️ Warning","🔴 Critique")),IF(VALUE(SUBSTITUTE(F11,"%",""))/100&lt;0.7,"✅ OK",IF(VALUE(SUBSTITUTE(F11,"%",""))/100&lt;0.85,"⚠️ Warning","🔴 Critique")))</f>
        <v/>
      </c>
      <c r="K11" s="47">
        <f>'🖥️ RAW_Hosts'!G4</f>
        <v/>
      </c>
      <c r="L11" s="48">
        <f>IFERROR(K11/1024,0)</f>
        <v/>
      </c>
      <c r="M11" s="47">
        <f>'🖥️ RAW_Hosts'!L4</f>
        <v/>
      </c>
      <c r="N11" s="46">
        <f>IF(K11&gt;0,IF(M11/K11&lt;0.75,"✅ OK",IF(M11/K11&lt;0.90,"⚠️ Warning","🔴 Critique")),"—")</f>
        <v/>
      </c>
      <c r="O11" s="47">
        <f>'🖥️ RAW_Hosts'!K4</f>
        <v/>
      </c>
      <c r="P11" s="46">
        <f>IF(B11&lt;&gt;"connected","⚠️ Déconnecté",IF(C11="red","🔴 Statut critique",IF(C11="yellow","⚠️ Warning","✅ OK")))</f>
        <v/>
      </c>
    </row>
    <row r="12" ht="18" customHeight="1">
      <c r="A12" s="49">
        <f>'🖥️ RAW_Hosts'!A5</f>
        <v/>
      </c>
      <c r="B12" s="49">
        <f>'🖥️ RAW_Hosts'!B5</f>
        <v/>
      </c>
      <c r="C12" s="49">
        <f>'🖥️ RAW_Hosts'!C5</f>
        <v/>
      </c>
      <c r="D12" s="49">
        <f>'🖥️ RAW_Hosts'!D5</f>
        <v/>
      </c>
      <c r="E12" s="49">
        <f>'🖥️ RAW_Hosts'!E5</f>
        <v/>
      </c>
      <c r="F12" s="49">
        <f>'🖥️ RAW_Hosts'!F5</f>
        <v/>
      </c>
      <c r="G12" s="49">
        <f>'🖥️ RAW_Hosts'!I5</f>
        <v/>
      </c>
      <c r="H12" s="50">
        <f>'🖥️ RAW_Hosts'!J5</f>
        <v/>
      </c>
      <c r="I12" s="50">
        <f>'🖥️ RAW_Hosts'!H5</f>
        <v/>
      </c>
      <c r="J12" s="49">
        <f>IF(ISNUMBER(F12),IF(F12&lt;0.7,"✅ OK",IF(F12&lt;0.85,"⚠️ Warning","🔴 Critique")),IF(VALUE(SUBSTITUTE(F12,"%",""))/100&lt;0.7,"✅ OK",IF(VALUE(SUBSTITUTE(F12,"%",""))/100&lt;0.85,"⚠️ Warning","🔴 Critique")))</f>
        <v/>
      </c>
      <c r="K12" s="50">
        <f>'🖥️ RAW_Hosts'!G5</f>
        <v/>
      </c>
      <c r="L12" s="51">
        <f>IFERROR(K12/1024,0)</f>
        <v/>
      </c>
      <c r="M12" s="50">
        <f>'🖥️ RAW_Hosts'!L5</f>
        <v/>
      </c>
      <c r="N12" s="49">
        <f>IF(K12&gt;0,IF(M12/K12&lt;0.75,"✅ OK",IF(M12/K12&lt;0.90,"⚠️ Warning","🔴 Critique")),"—")</f>
        <v/>
      </c>
      <c r="O12" s="50">
        <f>'🖥️ RAW_Hosts'!K5</f>
        <v/>
      </c>
      <c r="P12" s="49">
        <f>IF(B12&lt;&gt;"connected","⚠️ Déconnecté",IF(C12="red","🔴 Statut critique",IF(C12="yellow","⚠️ Warning","✅ OK")))</f>
        <v/>
      </c>
    </row>
    <row r="13" ht="18" customHeight="1">
      <c r="A13" s="46">
        <f>'🖥️ RAW_Hosts'!A6</f>
        <v/>
      </c>
      <c r="B13" s="46">
        <f>'🖥️ RAW_Hosts'!B6</f>
        <v/>
      </c>
      <c r="C13" s="46">
        <f>'🖥️ RAW_Hosts'!C6</f>
        <v/>
      </c>
      <c r="D13" s="46">
        <f>'🖥️ RAW_Hosts'!D6</f>
        <v/>
      </c>
      <c r="E13" s="46">
        <f>'🖥️ RAW_Hosts'!E6</f>
        <v/>
      </c>
      <c r="F13" s="46">
        <f>'🖥️ RAW_Hosts'!F6</f>
        <v/>
      </c>
      <c r="G13" s="46">
        <f>'🖥️ RAW_Hosts'!I6</f>
        <v/>
      </c>
      <c r="H13" s="47">
        <f>'🖥️ RAW_Hosts'!J6</f>
        <v/>
      </c>
      <c r="I13" s="47">
        <f>'🖥️ RAW_Hosts'!H6</f>
        <v/>
      </c>
      <c r="J13" s="46">
        <f>IF(ISNUMBER(F13),IF(F13&lt;0.7,"✅ OK",IF(F13&lt;0.85,"⚠️ Warning","🔴 Critique")),IF(VALUE(SUBSTITUTE(F13,"%",""))/100&lt;0.7,"✅ OK",IF(VALUE(SUBSTITUTE(F13,"%",""))/100&lt;0.85,"⚠️ Warning","🔴 Critique")))</f>
        <v/>
      </c>
      <c r="K13" s="47">
        <f>'🖥️ RAW_Hosts'!G6</f>
        <v/>
      </c>
      <c r="L13" s="48">
        <f>IFERROR(K13/1024,0)</f>
        <v/>
      </c>
      <c r="M13" s="47">
        <f>'🖥️ RAW_Hosts'!L6</f>
        <v/>
      </c>
      <c r="N13" s="46">
        <f>IF(K13&gt;0,IF(M13/K13&lt;0.75,"✅ OK",IF(M13/K13&lt;0.90,"⚠️ Warning","🔴 Critique")),"—")</f>
        <v/>
      </c>
      <c r="O13" s="47">
        <f>'🖥️ RAW_Hosts'!K6</f>
        <v/>
      </c>
      <c r="P13" s="46">
        <f>IF(B13&lt;&gt;"connected","⚠️ Déconnecté",IF(C13="red","🔴 Statut critique",IF(C13="yellow","⚠️ Warning","✅ OK")))</f>
        <v/>
      </c>
    </row>
    <row r="14" ht="18" customHeight="1">
      <c r="A14" s="49">
        <f>'🖥️ RAW_Hosts'!A7</f>
        <v/>
      </c>
      <c r="B14" s="49">
        <f>'🖥️ RAW_Hosts'!B7</f>
        <v/>
      </c>
      <c r="C14" s="49">
        <f>'🖥️ RAW_Hosts'!C7</f>
        <v/>
      </c>
      <c r="D14" s="49">
        <f>'🖥️ RAW_Hosts'!D7</f>
        <v/>
      </c>
      <c r="E14" s="49">
        <f>'🖥️ RAW_Hosts'!E7</f>
        <v/>
      </c>
      <c r="F14" s="49">
        <f>'🖥️ RAW_Hosts'!F7</f>
        <v/>
      </c>
      <c r="G14" s="49">
        <f>'🖥️ RAW_Hosts'!I7</f>
        <v/>
      </c>
      <c r="H14" s="50">
        <f>'🖥️ RAW_Hosts'!J7</f>
        <v/>
      </c>
      <c r="I14" s="50">
        <f>'🖥️ RAW_Hosts'!H7</f>
        <v/>
      </c>
      <c r="J14" s="49">
        <f>IF(ISNUMBER(F14),IF(F14&lt;0.7,"✅ OK",IF(F14&lt;0.85,"⚠️ Warning","🔴 Critique")),IF(VALUE(SUBSTITUTE(F14,"%",""))/100&lt;0.7,"✅ OK",IF(VALUE(SUBSTITUTE(F14,"%",""))/100&lt;0.85,"⚠️ Warning","🔴 Critique")))</f>
        <v/>
      </c>
      <c r="K14" s="50">
        <f>'🖥️ RAW_Hosts'!G7</f>
        <v/>
      </c>
      <c r="L14" s="51">
        <f>IFERROR(K14/1024,0)</f>
        <v/>
      </c>
      <c r="M14" s="50">
        <f>'🖥️ RAW_Hosts'!L7</f>
        <v/>
      </c>
      <c r="N14" s="49">
        <f>IF(K14&gt;0,IF(M14/K14&lt;0.75,"✅ OK",IF(M14/K14&lt;0.90,"⚠️ Warning","🔴 Critique")),"—")</f>
        <v/>
      </c>
      <c r="O14" s="50">
        <f>'🖥️ RAW_Hosts'!K7</f>
        <v/>
      </c>
      <c r="P14" s="49">
        <f>IF(B14&lt;&gt;"connected","⚠️ Déconnecté",IF(C14="red","🔴 Statut critique",IF(C14="yellow","⚠️ Warning","✅ OK")))</f>
        <v/>
      </c>
    </row>
    <row r="15" ht="18" customHeight="1">
      <c r="A15" s="46">
        <f>'🖥️ RAW_Hosts'!A8</f>
        <v/>
      </c>
      <c r="B15" s="46">
        <f>'🖥️ RAW_Hosts'!B8</f>
        <v/>
      </c>
      <c r="C15" s="46">
        <f>'🖥️ RAW_Hosts'!C8</f>
        <v/>
      </c>
      <c r="D15" s="46">
        <f>'🖥️ RAW_Hosts'!D8</f>
        <v/>
      </c>
      <c r="E15" s="46">
        <f>'🖥️ RAW_Hosts'!E8</f>
        <v/>
      </c>
      <c r="F15" s="46">
        <f>'🖥️ RAW_Hosts'!F8</f>
        <v/>
      </c>
      <c r="G15" s="46">
        <f>'🖥️ RAW_Hosts'!I8</f>
        <v/>
      </c>
      <c r="H15" s="47">
        <f>'🖥️ RAW_Hosts'!J8</f>
        <v/>
      </c>
      <c r="I15" s="47">
        <f>'🖥️ RAW_Hosts'!H8</f>
        <v/>
      </c>
      <c r="J15" s="46">
        <f>IF(ISNUMBER(F15),IF(F15&lt;0.7,"✅ OK",IF(F15&lt;0.85,"⚠️ Warning","🔴 Critique")),IF(VALUE(SUBSTITUTE(F15,"%",""))/100&lt;0.7,"✅ OK",IF(VALUE(SUBSTITUTE(F15,"%",""))/100&lt;0.85,"⚠️ Warning","🔴 Critique")))</f>
        <v/>
      </c>
      <c r="K15" s="47">
        <f>'🖥️ RAW_Hosts'!G8</f>
        <v/>
      </c>
      <c r="L15" s="48">
        <f>IFERROR(K15/1024,0)</f>
        <v/>
      </c>
      <c r="M15" s="47">
        <f>'🖥️ RAW_Hosts'!L8</f>
        <v/>
      </c>
      <c r="N15" s="46">
        <f>IF(K15&gt;0,IF(M15/K15&lt;0.75,"✅ OK",IF(M15/K15&lt;0.90,"⚠️ Warning","🔴 Critique")),"—")</f>
        <v/>
      </c>
      <c r="O15" s="47">
        <f>'🖥️ RAW_Hosts'!K8</f>
        <v/>
      </c>
      <c r="P15" s="46">
        <f>IF(B15&lt;&gt;"connected","⚠️ Déconnecté",IF(C15="red","🔴 Statut critique",IF(C15="yellow","⚠️ Warning","✅ OK")))</f>
        <v/>
      </c>
    </row>
    <row r="16" ht="18" customHeight="1">
      <c r="A16" s="49">
        <f>'🖥️ RAW_Hosts'!A9</f>
        <v/>
      </c>
      <c r="B16" s="49">
        <f>'🖥️ RAW_Hosts'!B9</f>
        <v/>
      </c>
      <c r="C16" s="49">
        <f>'🖥️ RAW_Hosts'!C9</f>
        <v/>
      </c>
      <c r="D16" s="49">
        <f>'🖥️ RAW_Hosts'!D9</f>
        <v/>
      </c>
      <c r="E16" s="49">
        <f>'🖥️ RAW_Hosts'!E9</f>
        <v/>
      </c>
      <c r="F16" s="49">
        <f>'🖥️ RAW_Hosts'!F9</f>
        <v/>
      </c>
      <c r="G16" s="49">
        <f>'🖥️ RAW_Hosts'!I9</f>
        <v/>
      </c>
      <c r="H16" s="50">
        <f>'🖥️ RAW_Hosts'!J9</f>
        <v/>
      </c>
      <c r="I16" s="50">
        <f>'🖥️ RAW_Hosts'!H9</f>
        <v/>
      </c>
      <c r="J16" s="49">
        <f>IF(ISNUMBER(F16),IF(F16&lt;0.7,"✅ OK",IF(F16&lt;0.85,"⚠️ Warning","🔴 Critique")),IF(VALUE(SUBSTITUTE(F16,"%",""))/100&lt;0.7,"✅ OK",IF(VALUE(SUBSTITUTE(F16,"%",""))/100&lt;0.85,"⚠️ Warning","🔴 Critique")))</f>
        <v/>
      </c>
      <c r="K16" s="50">
        <f>'🖥️ RAW_Hosts'!G9</f>
        <v/>
      </c>
      <c r="L16" s="51">
        <f>IFERROR(K16/1024,0)</f>
        <v/>
      </c>
      <c r="M16" s="50">
        <f>'🖥️ RAW_Hosts'!L9</f>
        <v/>
      </c>
      <c r="N16" s="49">
        <f>IF(K16&gt;0,IF(M16/K16&lt;0.75,"✅ OK",IF(M16/K16&lt;0.90,"⚠️ Warning","🔴 Critique")),"—")</f>
        <v/>
      </c>
      <c r="O16" s="50">
        <f>'🖥️ RAW_Hosts'!K9</f>
        <v/>
      </c>
      <c r="P16" s="49">
        <f>IF(B16&lt;&gt;"connected","⚠️ Déconnecté",IF(C16="red","🔴 Statut critique",IF(C16="yellow","⚠️ Warning","✅ OK")))</f>
        <v/>
      </c>
    </row>
    <row r="17" ht="18" customHeight="1">
      <c r="A17" s="46">
        <f>'🖥️ RAW_Hosts'!A10</f>
        <v/>
      </c>
      <c r="B17" s="46">
        <f>'🖥️ RAW_Hosts'!B10</f>
        <v/>
      </c>
      <c r="C17" s="46">
        <f>'🖥️ RAW_Hosts'!C10</f>
        <v/>
      </c>
      <c r="D17" s="46">
        <f>'🖥️ RAW_Hosts'!D10</f>
        <v/>
      </c>
      <c r="E17" s="46">
        <f>'🖥️ RAW_Hosts'!E10</f>
        <v/>
      </c>
      <c r="F17" s="46">
        <f>'🖥️ RAW_Hosts'!F10</f>
        <v/>
      </c>
      <c r="G17" s="46">
        <f>'🖥️ RAW_Hosts'!I10</f>
        <v/>
      </c>
      <c r="H17" s="47">
        <f>'🖥️ RAW_Hosts'!J10</f>
        <v/>
      </c>
      <c r="I17" s="47">
        <f>'🖥️ RAW_Hosts'!H10</f>
        <v/>
      </c>
      <c r="J17" s="46">
        <f>IF(ISNUMBER(F17),IF(F17&lt;0.7,"✅ OK",IF(F17&lt;0.85,"⚠️ Warning","🔴 Critique")),IF(VALUE(SUBSTITUTE(F17,"%",""))/100&lt;0.7,"✅ OK",IF(VALUE(SUBSTITUTE(F17,"%",""))/100&lt;0.85,"⚠️ Warning","🔴 Critique")))</f>
        <v/>
      </c>
      <c r="K17" s="47">
        <f>'🖥️ RAW_Hosts'!G10</f>
        <v/>
      </c>
      <c r="L17" s="48">
        <f>IFERROR(K17/1024,0)</f>
        <v/>
      </c>
      <c r="M17" s="47">
        <f>'🖥️ RAW_Hosts'!L10</f>
        <v/>
      </c>
      <c r="N17" s="46">
        <f>IF(K17&gt;0,IF(M17/K17&lt;0.75,"✅ OK",IF(M17/K17&lt;0.90,"⚠️ Warning","🔴 Critique")),"—")</f>
        <v/>
      </c>
      <c r="O17" s="47">
        <f>'🖥️ RAW_Hosts'!K10</f>
        <v/>
      </c>
      <c r="P17" s="46">
        <f>IF(B17&lt;&gt;"connected","⚠️ Déconnecté",IF(C17="red","🔴 Statut critique",IF(C17="yellow","⚠️ Warning","✅ OK")))</f>
        <v/>
      </c>
    </row>
    <row r="18" ht="18" customHeight="1">
      <c r="A18" s="49">
        <f>'🖥️ RAW_Hosts'!A11</f>
        <v/>
      </c>
      <c r="B18" s="49">
        <f>'🖥️ RAW_Hosts'!B11</f>
        <v/>
      </c>
      <c r="C18" s="49">
        <f>'🖥️ RAW_Hosts'!C11</f>
        <v/>
      </c>
      <c r="D18" s="49">
        <f>'🖥️ RAW_Hosts'!D11</f>
        <v/>
      </c>
      <c r="E18" s="49">
        <f>'🖥️ RAW_Hosts'!E11</f>
        <v/>
      </c>
      <c r="F18" s="49">
        <f>'🖥️ RAW_Hosts'!F11</f>
        <v/>
      </c>
      <c r="G18" s="49">
        <f>'🖥️ RAW_Hosts'!I11</f>
        <v/>
      </c>
      <c r="H18" s="50">
        <f>'🖥️ RAW_Hosts'!J11</f>
        <v/>
      </c>
      <c r="I18" s="50">
        <f>'🖥️ RAW_Hosts'!H11</f>
        <v/>
      </c>
      <c r="J18" s="49">
        <f>IF(ISNUMBER(F18),IF(F18&lt;0.7,"✅ OK",IF(F18&lt;0.85,"⚠️ Warning","🔴 Critique")),IF(VALUE(SUBSTITUTE(F18,"%",""))/100&lt;0.7,"✅ OK",IF(VALUE(SUBSTITUTE(F18,"%",""))/100&lt;0.85,"⚠️ Warning","🔴 Critique")))</f>
        <v/>
      </c>
      <c r="K18" s="50">
        <f>'🖥️ RAW_Hosts'!G11</f>
        <v/>
      </c>
      <c r="L18" s="51">
        <f>IFERROR(K18/1024,0)</f>
        <v/>
      </c>
      <c r="M18" s="50">
        <f>'🖥️ RAW_Hosts'!L11</f>
        <v/>
      </c>
      <c r="N18" s="49">
        <f>IF(K18&gt;0,IF(M18/K18&lt;0.75,"✅ OK",IF(M18/K18&lt;0.90,"⚠️ Warning","🔴 Critique")),"—")</f>
        <v/>
      </c>
      <c r="O18" s="50">
        <f>'🖥️ RAW_Hosts'!K11</f>
        <v/>
      </c>
      <c r="P18" s="49">
        <f>IF(B18&lt;&gt;"connected","⚠️ Déconnecté",IF(C18="red","🔴 Statut critique",IF(C18="yellow","⚠️ Warning","✅ OK")))</f>
        <v/>
      </c>
    </row>
    <row r="19" ht="18" customHeight="1">
      <c r="A19" s="46">
        <f>'🖥️ RAW_Hosts'!A12</f>
        <v/>
      </c>
      <c r="B19" s="46">
        <f>'🖥️ RAW_Hosts'!B12</f>
        <v/>
      </c>
      <c r="C19" s="46">
        <f>'🖥️ RAW_Hosts'!C12</f>
        <v/>
      </c>
      <c r="D19" s="46">
        <f>'🖥️ RAW_Hosts'!D12</f>
        <v/>
      </c>
      <c r="E19" s="46">
        <f>'🖥️ RAW_Hosts'!E12</f>
        <v/>
      </c>
      <c r="F19" s="46">
        <f>'🖥️ RAW_Hosts'!F12</f>
        <v/>
      </c>
      <c r="G19" s="46">
        <f>'🖥️ RAW_Hosts'!I12</f>
        <v/>
      </c>
      <c r="H19" s="47">
        <f>'🖥️ RAW_Hosts'!J12</f>
        <v/>
      </c>
      <c r="I19" s="47">
        <f>'🖥️ RAW_Hosts'!H12</f>
        <v/>
      </c>
      <c r="J19" s="46">
        <f>IF(ISNUMBER(F19),IF(F19&lt;0.7,"✅ OK",IF(F19&lt;0.85,"⚠️ Warning","🔴 Critique")),IF(VALUE(SUBSTITUTE(F19,"%",""))/100&lt;0.7,"✅ OK",IF(VALUE(SUBSTITUTE(F19,"%",""))/100&lt;0.85,"⚠️ Warning","🔴 Critique")))</f>
        <v/>
      </c>
      <c r="K19" s="47">
        <f>'🖥️ RAW_Hosts'!G12</f>
        <v/>
      </c>
      <c r="L19" s="48">
        <f>IFERROR(K19/1024,0)</f>
        <v/>
      </c>
      <c r="M19" s="47">
        <f>'🖥️ RAW_Hosts'!L12</f>
        <v/>
      </c>
      <c r="N19" s="46">
        <f>IF(K19&gt;0,IF(M19/K19&lt;0.75,"✅ OK",IF(M19/K19&lt;0.90,"⚠️ Warning","🔴 Critique")),"—")</f>
        <v/>
      </c>
      <c r="O19" s="47">
        <f>'🖥️ RAW_Hosts'!K12</f>
        <v/>
      </c>
      <c r="P19" s="46">
        <f>IF(B19&lt;&gt;"connected","⚠️ Déconnecté",IF(C19="red","🔴 Statut critique",IF(C19="yellow","⚠️ Warning","✅ OK")))</f>
        <v/>
      </c>
    </row>
    <row r="20" ht="18" customHeight="1">
      <c r="A20" s="49">
        <f>'🖥️ RAW_Hosts'!A13</f>
        <v/>
      </c>
      <c r="B20" s="49">
        <f>'🖥️ RAW_Hosts'!B13</f>
        <v/>
      </c>
      <c r="C20" s="49">
        <f>'🖥️ RAW_Hosts'!C13</f>
        <v/>
      </c>
      <c r="D20" s="49">
        <f>'🖥️ RAW_Hosts'!D13</f>
        <v/>
      </c>
      <c r="E20" s="49">
        <f>'🖥️ RAW_Hosts'!E13</f>
        <v/>
      </c>
      <c r="F20" s="49">
        <f>'🖥️ RAW_Hosts'!F13</f>
        <v/>
      </c>
      <c r="G20" s="49">
        <f>'🖥️ RAW_Hosts'!I13</f>
        <v/>
      </c>
      <c r="H20" s="50">
        <f>'🖥️ RAW_Hosts'!J13</f>
        <v/>
      </c>
      <c r="I20" s="50">
        <f>'🖥️ RAW_Hosts'!H13</f>
        <v/>
      </c>
      <c r="J20" s="49">
        <f>IF(ISNUMBER(F20),IF(F20&lt;0.7,"✅ OK",IF(F20&lt;0.85,"⚠️ Warning","🔴 Critique")),IF(VALUE(SUBSTITUTE(F20,"%",""))/100&lt;0.7,"✅ OK",IF(VALUE(SUBSTITUTE(F20,"%",""))/100&lt;0.85,"⚠️ Warning","🔴 Critique")))</f>
        <v/>
      </c>
      <c r="K20" s="50">
        <f>'🖥️ RAW_Hosts'!G13</f>
        <v/>
      </c>
      <c r="L20" s="51">
        <f>IFERROR(K20/1024,0)</f>
        <v/>
      </c>
      <c r="M20" s="50">
        <f>'🖥️ RAW_Hosts'!L13</f>
        <v/>
      </c>
      <c r="N20" s="49">
        <f>IF(K20&gt;0,IF(M20/K20&lt;0.75,"✅ OK",IF(M20/K20&lt;0.90,"⚠️ Warning","🔴 Critique")),"—")</f>
        <v/>
      </c>
      <c r="O20" s="50">
        <f>'🖥️ RAW_Hosts'!K13</f>
        <v/>
      </c>
      <c r="P20" s="49">
        <f>IF(B20&lt;&gt;"connected","⚠️ Déconnecté",IF(C20="red","🔴 Statut critique",IF(C20="yellow","⚠️ Warning","✅ OK")))</f>
        <v/>
      </c>
    </row>
    <row r="21" ht="22" customHeight="1">
      <c r="A21" s="52" t="inlineStr">
        <is>
          <t>TOTAUX / MOYENNES</t>
        </is>
      </c>
      <c r="B21" s="52" t="n"/>
      <c r="C21" s="52" t="n"/>
      <c r="D21" s="52" t="n"/>
      <c r="E21" s="52" t="n"/>
      <c r="F21" s="52" t="n"/>
      <c r="G21" s="52" t="n"/>
      <c r="H21" s="53">
        <f>SUM(H11:H20)</f>
        <v/>
      </c>
      <c r="I21" s="53">
        <f>SUM(I11:I20)</f>
        <v/>
      </c>
      <c r="J21" s="52" t="n"/>
      <c r="K21" s="53">
        <f>SUM(K11:K20)</f>
        <v/>
      </c>
      <c r="L21" s="54">
        <f>ROUND(SUM(K11:K20)/1024,1)</f>
        <v/>
      </c>
      <c r="M21" s="53">
        <f>SUM(M11:M20)</f>
        <v/>
      </c>
      <c r="N21" s="52" t="n"/>
      <c r="O21" s="53">
        <f>SUM(O11:O20)</f>
        <v/>
      </c>
      <c r="P21" s="52" t="n"/>
    </row>
    <row r="23" ht="20" customHeight="1">
      <c r="A23" s="45" t="inlineStr">
        <is>
          <t xml:space="preserve">  📈  CPU &amp; RAM PAR HOST</t>
        </is>
      </c>
    </row>
  </sheetData>
  <mergeCells count="23">
    <mergeCell ref="J5:K5"/>
    <mergeCell ref="A23:P23"/>
    <mergeCell ref="A4:P4"/>
    <mergeCell ref="M5:N5"/>
    <mergeCell ref="A1:Q1"/>
    <mergeCell ref="A6:B6"/>
    <mergeCell ref="D6:E6"/>
    <mergeCell ref="A7:B7"/>
    <mergeCell ref="G7:H7"/>
    <mergeCell ref="J6:K6"/>
    <mergeCell ref="P6:Q6"/>
    <mergeCell ref="A9:P9"/>
    <mergeCell ref="G6:H6"/>
    <mergeCell ref="M7:N7"/>
    <mergeCell ref="D7:E7"/>
    <mergeCell ref="M6:N6"/>
    <mergeCell ref="P7:Q7"/>
    <mergeCell ref="J7:K7"/>
    <mergeCell ref="A5:B5"/>
    <mergeCell ref="G5:H5"/>
    <mergeCell ref="A2:Q2"/>
    <mergeCell ref="D5:E5"/>
    <mergeCell ref="P5:Q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9A825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8" customHeight="1">
      <c r="A1" s="1" t="inlineStr">
        <is>
          <t>💽  ANALYSE CAPACITÉ – STOCKAGE</t>
        </is>
      </c>
    </row>
    <row r="2" ht="14" customHeight="1">
      <c r="A2" s="2" t="inlineStr">
        <is>
          <t>Alimenté automatiquement par 💾 RAW_Datastores  |  Recalcul instantané</t>
        </is>
      </c>
    </row>
    <row r="4" ht="20" customHeight="1">
      <c r="A4" s="3" t="inlineStr">
        <is>
          <t xml:space="preserve">  📊  INDICATEURS GLOBAUX</t>
        </is>
      </c>
    </row>
    <row r="5" ht="18" customHeight="1">
      <c r="A5" s="4" t="inlineStr">
        <is>
          <t>Cap. Totale (TB)</t>
        </is>
      </c>
      <c r="B5" s="33" t="n"/>
      <c r="D5" s="4" t="inlineStr">
        <is>
          <t>Cap. Totale (GB)</t>
        </is>
      </c>
      <c r="E5" s="33" t="n"/>
      <c r="G5" s="35" t="inlineStr">
        <is>
          <t>Espace Libre (GB)</t>
        </is>
      </c>
      <c r="H5" s="33" t="n"/>
      <c r="J5" s="34" t="inlineStr">
        <is>
          <t>Usage Global</t>
        </is>
      </c>
      <c r="K5" s="33" t="n"/>
      <c r="M5" s="36" t="inlineStr">
        <is>
          <t>DS critiques</t>
        </is>
      </c>
      <c r="N5" s="33" t="n"/>
    </row>
    <row r="6" ht="38" customHeight="1">
      <c r="A6" s="55">
        <f>IFERROR(ROUND(SUM('💾 RAW_Datastores'!F4:F5000),1),0)</f>
        <v/>
      </c>
      <c r="B6" s="33" t="n"/>
      <c r="D6" s="37">
        <f>IFERROR(ROUND(SUM('💾 RAW_Datastores'!G4:G5000),0),0)</f>
        <v/>
      </c>
      <c r="E6" s="33" t="n"/>
      <c r="G6" s="39">
        <f>IFERROR(ROUND(SUM('💾 RAW_Datastores'!H4:H5000),0),0)</f>
        <v/>
      </c>
      <c r="H6" s="33" t="n"/>
      <c r="J6" s="38">
        <f>IFERROR(1-SUM('💾 RAW_Datastores'!H4:H5000)/SUM('💾 RAW_Datastores'!G4:G5000),0)</f>
        <v/>
      </c>
      <c r="K6" s="33" t="n"/>
      <c r="M6" s="40">
        <f>COUNTIF('💾 RAW_Datastores'!C4:C5000,"red")+COUNTIF('💾 RAW_Datastores'!C4:C5000,"yellow")</f>
        <v/>
      </c>
      <c r="N6" s="33" t="n"/>
    </row>
    <row r="7" ht="14" customHeight="1">
      <c r="A7" s="41" t="inlineStr">
        <is>
          <t>TB total</t>
        </is>
      </c>
      <c r="B7" s="33" t="n"/>
      <c r="D7" s="41" t="inlineStr">
        <is>
          <t>GB total</t>
        </is>
      </c>
      <c r="E7" s="33" t="n"/>
      <c r="G7" s="43" t="inlineStr">
        <is>
          <t>GB libres</t>
        </is>
      </c>
      <c r="H7" s="33" t="n"/>
      <c r="J7" s="42" t="inlineStr">
        <is>
          <t>% utilisé</t>
        </is>
      </c>
      <c r="K7" s="33" t="n"/>
      <c r="M7" s="44" t="inlineStr">
        <is>
          <t>⚠️ à traiter</t>
        </is>
      </c>
      <c r="N7" s="33" t="n"/>
    </row>
    <row r="9" ht="20" customHeight="1">
      <c r="A9" s="56" t="inlineStr">
        <is>
          <t xml:space="preserve">  📋  DÉTAIL PAR DATASTORE</t>
        </is>
      </c>
    </row>
    <row r="10" ht="24" customHeight="1">
      <c r="A10" s="26" t="inlineStr">
        <is>
          <t>Name</t>
        </is>
      </c>
      <c r="B10" s="26" t="inlineStr">
        <is>
          <t>Cluster</t>
        </is>
      </c>
      <c r="C10" s="26" t="inlineStr">
        <is>
          <t>Status</t>
        </is>
      </c>
      <c r="D10" s="26" t="inlineStr">
        <is>
          <t>Type</t>
        </is>
      </c>
      <c r="E10" s="26" t="inlineStr">
        <is>
          <t>DS Cluster</t>
        </is>
      </c>
      <c r="F10" s="26" t="inlineStr">
        <is>
          <t>Capacity TB</t>
        </is>
      </c>
      <c r="G10" s="26" t="inlineStr">
        <is>
          <t>Capacity (GB)</t>
        </is>
      </c>
      <c r="H10" s="26" t="inlineStr">
        <is>
          <t>Free (GB)</t>
        </is>
      </c>
      <c r="I10" s="26" t="inlineStr">
        <is>
          <t>FreeSize</t>
        </is>
      </c>
      <c r="J10" s="26" t="inlineStr">
        <is>
          <t>Used (GB)</t>
        </is>
      </c>
      <c r="K10" s="26" t="inlineStr">
        <is>
          <t>Usage %</t>
        </is>
      </c>
      <c r="L10" s="26" t="inlineStr">
        <is>
          <t>Statut</t>
        </is>
      </c>
      <c r="M10" s="26" t="inlineStr">
        <is>
          <t>Alerte</t>
        </is>
      </c>
    </row>
    <row r="11" ht="18" customHeight="1">
      <c r="A11" s="46">
        <f>'💾 RAW_Datastores'!A4</f>
        <v/>
      </c>
      <c r="B11" s="46">
        <f>'💾 RAW_Datastores'!B4</f>
        <v/>
      </c>
      <c r="C11" s="46">
        <f>'💾 RAW_Datastores'!C4</f>
        <v/>
      </c>
      <c r="D11" s="46">
        <f>'💾 RAW_Datastores'!D4</f>
        <v/>
      </c>
      <c r="E11" s="46">
        <f>'💾 RAW_Datastores'!E4</f>
        <v/>
      </c>
      <c r="F11" s="48">
        <f>'💾 RAW_Datastores'!F4</f>
        <v/>
      </c>
      <c r="G11" s="47">
        <f>'💾 RAW_Datastores'!G4</f>
        <v/>
      </c>
      <c r="H11" s="47">
        <f>'💾 RAW_Datastores'!H4</f>
        <v/>
      </c>
      <c r="I11" s="48">
        <f>'💾 RAW_Datastores'!I4</f>
        <v/>
      </c>
      <c r="J11" s="47">
        <f>IFERROR(G11-H11,0)</f>
        <v/>
      </c>
      <c r="K11" s="57">
        <f>IFERROR(J11/G11,0)</f>
        <v/>
      </c>
      <c r="L11" s="46">
        <f>IF(K11&lt;0.7,"✅ OK",IF(K11&lt;0.85,"⚠️ Warning","🔴 Critique"))</f>
        <v/>
      </c>
      <c r="M11" s="46">
        <f>IF(C11="red","🔴 Statut rouge",IF(K11&gt;0.90,"🔴 Espace critique",IF(K11&gt;0.80,"⚠️ Surveiller","✅ Normal")))</f>
        <v/>
      </c>
    </row>
    <row r="12" ht="18" customHeight="1">
      <c r="A12" s="49">
        <f>'💾 RAW_Datastores'!A5</f>
        <v/>
      </c>
      <c r="B12" s="49">
        <f>'💾 RAW_Datastores'!B5</f>
        <v/>
      </c>
      <c r="C12" s="49">
        <f>'💾 RAW_Datastores'!C5</f>
        <v/>
      </c>
      <c r="D12" s="49">
        <f>'💾 RAW_Datastores'!D5</f>
        <v/>
      </c>
      <c r="E12" s="49">
        <f>'💾 RAW_Datastores'!E5</f>
        <v/>
      </c>
      <c r="F12" s="51">
        <f>'💾 RAW_Datastores'!F5</f>
        <v/>
      </c>
      <c r="G12" s="50">
        <f>'💾 RAW_Datastores'!G5</f>
        <v/>
      </c>
      <c r="H12" s="50">
        <f>'💾 RAW_Datastores'!H5</f>
        <v/>
      </c>
      <c r="I12" s="51">
        <f>'💾 RAW_Datastores'!I5</f>
        <v/>
      </c>
      <c r="J12" s="50">
        <f>IFERROR(G12-H12,0)</f>
        <v/>
      </c>
      <c r="K12" s="58">
        <f>IFERROR(J12/G12,0)</f>
        <v/>
      </c>
      <c r="L12" s="49">
        <f>IF(K12&lt;0.7,"✅ OK",IF(K12&lt;0.85,"⚠️ Warning","🔴 Critique"))</f>
        <v/>
      </c>
      <c r="M12" s="49">
        <f>IF(C12="red","🔴 Statut rouge",IF(K12&gt;0.90,"🔴 Espace critique",IF(K12&gt;0.80,"⚠️ Surveiller","✅ Normal")))</f>
        <v/>
      </c>
    </row>
    <row r="13" ht="18" customHeight="1">
      <c r="A13" s="46">
        <f>'💾 RAW_Datastores'!A6</f>
        <v/>
      </c>
      <c r="B13" s="46">
        <f>'💾 RAW_Datastores'!B6</f>
        <v/>
      </c>
      <c r="C13" s="46">
        <f>'💾 RAW_Datastores'!C6</f>
        <v/>
      </c>
      <c r="D13" s="46">
        <f>'💾 RAW_Datastores'!D6</f>
        <v/>
      </c>
      <c r="E13" s="46">
        <f>'💾 RAW_Datastores'!E6</f>
        <v/>
      </c>
      <c r="F13" s="48">
        <f>'💾 RAW_Datastores'!F6</f>
        <v/>
      </c>
      <c r="G13" s="47">
        <f>'💾 RAW_Datastores'!G6</f>
        <v/>
      </c>
      <c r="H13" s="47">
        <f>'💾 RAW_Datastores'!H6</f>
        <v/>
      </c>
      <c r="I13" s="48">
        <f>'💾 RAW_Datastores'!I6</f>
        <v/>
      </c>
      <c r="J13" s="47">
        <f>IFERROR(G13-H13,0)</f>
        <v/>
      </c>
      <c r="K13" s="57">
        <f>IFERROR(J13/G13,0)</f>
        <v/>
      </c>
      <c r="L13" s="46">
        <f>IF(K13&lt;0.7,"✅ OK",IF(K13&lt;0.85,"⚠️ Warning","🔴 Critique"))</f>
        <v/>
      </c>
      <c r="M13" s="46">
        <f>IF(C13="red","🔴 Statut rouge",IF(K13&gt;0.90,"🔴 Espace critique",IF(K13&gt;0.80,"⚠️ Surveiller","✅ Normal")))</f>
        <v/>
      </c>
    </row>
    <row r="14" ht="18" customHeight="1">
      <c r="A14" s="49">
        <f>'💾 RAW_Datastores'!A7</f>
        <v/>
      </c>
      <c r="B14" s="49">
        <f>'💾 RAW_Datastores'!B7</f>
        <v/>
      </c>
      <c r="C14" s="49">
        <f>'💾 RAW_Datastores'!C7</f>
        <v/>
      </c>
      <c r="D14" s="49">
        <f>'💾 RAW_Datastores'!D7</f>
        <v/>
      </c>
      <c r="E14" s="49">
        <f>'💾 RAW_Datastores'!E7</f>
        <v/>
      </c>
      <c r="F14" s="51">
        <f>'💾 RAW_Datastores'!F7</f>
        <v/>
      </c>
      <c r="G14" s="50">
        <f>'💾 RAW_Datastores'!G7</f>
        <v/>
      </c>
      <c r="H14" s="50">
        <f>'💾 RAW_Datastores'!H7</f>
        <v/>
      </c>
      <c r="I14" s="51">
        <f>'💾 RAW_Datastores'!I7</f>
        <v/>
      </c>
      <c r="J14" s="50">
        <f>IFERROR(G14-H14,0)</f>
        <v/>
      </c>
      <c r="K14" s="58">
        <f>IFERROR(J14/G14,0)</f>
        <v/>
      </c>
      <c r="L14" s="49">
        <f>IF(K14&lt;0.7,"✅ OK",IF(K14&lt;0.85,"⚠️ Warning","🔴 Critique"))</f>
        <v/>
      </c>
      <c r="M14" s="49">
        <f>IF(C14="red","🔴 Statut rouge",IF(K14&gt;0.90,"🔴 Espace critique",IF(K14&gt;0.80,"⚠️ Surveiller","✅ Normal")))</f>
        <v/>
      </c>
    </row>
    <row r="15" ht="18" customHeight="1">
      <c r="A15" s="46">
        <f>'💾 RAW_Datastores'!A8</f>
        <v/>
      </c>
      <c r="B15" s="46">
        <f>'💾 RAW_Datastores'!B8</f>
        <v/>
      </c>
      <c r="C15" s="46">
        <f>'💾 RAW_Datastores'!C8</f>
        <v/>
      </c>
      <c r="D15" s="46">
        <f>'💾 RAW_Datastores'!D8</f>
        <v/>
      </c>
      <c r="E15" s="46">
        <f>'💾 RAW_Datastores'!E8</f>
        <v/>
      </c>
      <c r="F15" s="48">
        <f>'💾 RAW_Datastores'!F8</f>
        <v/>
      </c>
      <c r="G15" s="47">
        <f>'💾 RAW_Datastores'!G8</f>
        <v/>
      </c>
      <c r="H15" s="47">
        <f>'💾 RAW_Datastores'!H8</f>
        <v/>
      </c>
      <c r="I15" s="48">
        <f>'💾 RAW_Datastores'!I8</f>
        <v/>
      </c>
      <c r="J15" s="47">
        <f>IFERROR(G15-H15,0)</f>
        <v/>
      </c>
      <c r="K15" s="57">
        <f>IFERROR(J15/G15,0)</f>
        <v/>
      </c>
      <c r="L15" s="46">
        <f>IF(K15&lt;0.7,"✅ OK",IF(K15&lt;0.85,"⚠️ Warning","🔴 Critique"))</f>
        <v/>
      </c>
      <c r="M15" s="46">
        <f>IF(C15="red","🔴 Statut rouge",IF(K15&gt;0.90,"🔴 Espace critique",IF(K15&gt;0.80,"⚠️ Surveiller","✅ Normal")))</f>
        <v/>
      </c>
    </row>
    <row r="16" ht="18" customHeight="1">
      <c r="A16" s="49">
        <f>'💾 RAW_Datastores'!A9</f>
        <v/>
      </c>
      <c r="B16" s="49">
        <f>'💾 RAW_Datastores'!B9</f>
        <v/>
      </c>
      <c r="C16" s="49">
        <f>'💾 RAW_Datastores'!C9</f>
        <v/>
      </c>
      <c r="D16" s="49">
        <f>'💾 RAW_Datastores'!D9</f>
        <v/>
      </c>
      <c r="E16" s="49">
        <f>'💾 RAW_Datastores'!E9</f>
        <v/>
      </c>
      <c r="F16" s="51">
        <f>'💾 RAW_Datastores'!F9</f>
        <v/>
      </c>
      <c r="G16" s="50">
        <f>'💾 RAW_Datastores'!G9</f>
        <v/>
      </c>
      <c r="H16" s="50">
        <f>'💾 RAW_Datastores'!H9</f>
        <v/>
      </c>
      <c r="I16" s="51">
        <f>'💾 RAW_Datastores'!I9</f>
        <v/>
      </c>
      <c r="J16" s="50">
        <f>IFERROR(G16-H16,0)</f>
        <v/>
      </c>
      <c r="K16" s="58">
        <f>IFERROR(J16/G16,0)</f>
        <v/>
      </c>
      <c r="L16" s="49">
        <f>IF(K16&lt;0.7,"✅ OK",IF(K16&lt;0.85,"⚠️ Warning","🔴 Critique"))</f>
        <v/>
      </c>
      <c r="M16" s="49">
        <f>IF(C16="red","🔴 Statut rouge",IF(K16&gt;0.90,"🔴 Espace critique",IF(K16&gt;0.80,"⚠️ Surveiller","✅ Normal")))</f>
        <v/>
      </c>
    </row>
    <row r="17" ht="18" customHeight="1">
      <c r="A17" s="46">
        <f>'💾 RAW_Datastores'!A10</f>
        <v/>
      </c>
      <c r="B17" s="46">
        <f>'💾 RAW_Datastores'!B10</f>
        <v/>
      </c>
      <c r="C17" s="46">
        <f>'💾 RAW_Datastores'!C10</f>
        <v/>
      </c>
      <c r="D17" s="46">
        <f>'💾 RAW_Datastores'!D10</f>
        <v/>
      </c>
      <c r="E17" s="46">
        <f>'💾 RAW_Datastores'!E10</f>
        <v/>
      </c>
      <c r="F17" s="48">
        <f>'💾 RAW_Datastores'!F10</f>
        <v/>
      </c>
      <c r="G17" s="47">
        <f>'💾 RAW_Datastores'!G10</f>
        <v/>
      </c>
      <c r="H17" s="47">
        <f>'💾 RAW_Datastores'!H10</f>
        <v/>
      </c>
      <c r="I17" s="48">
        <f>'💾 RAW_Datastores'!I10</f>
        <v/>
      </c>
      <c r="J17" s="47">
        <f>IFERROR(G17-H17,0)</f>
        <v/>
      </c>
      <c r="K17" s="57">
        <f>IFERROR(J17/G17,0)</f>
        <v/>
      </c>
      <c r="L17" s="46">
        <f>IF(K17&lt;0.7,"✅ OK",IF(K17&lt;0.85,"⚠️ Warning","🔴 Critique"))</f>
        <v/>
      </c>
      <c r="M17" s="46">
        <f>IF(C17="red","🔴 Statut rouge",IF(K17&gt;0.90,"🔴 Espace critique",IF(K17&gt;0.80,"⚠️ Surveiller","✅ Normal")))</f>
        <v/>
      </c>
    </row>
    <row r="18" ht="18" customHeight="1">
      <c r="A18" s="49">
        <f>'💾 RAW_Datastores'!A11</f>
        <v/>
      </c>
      <c r="B18" s="49">
        <f>'💾 RAW_Datastores'!B11</f>
        <v/>
      </c>
      <c r="C18" s="49">
        <f>'💾 RAW_Datastores'!C11</f>
        <v/>
      </c>
      <c r="D18" s="49">
        <f>'💾 RAW_Datastores'!D11</f>
        <v/>
      </c>
      <c r="E18" s="49">
        <f>'💾 RAW_Datastores'!E11</f>
        <v/>
      </c>
      <c r="F18" s="51">
        <f>'💾 RAW_Datastores'!F11</f>
        <v/>
      </c>
      <c r="G18" s="50">
        <f>'💾 RAW_Datastores'!G11</f>
        <v/>
      </c>
      <c r="H18" s="50">
        <f>'💾 RAW_Datastores'!H11</f>
        <v/>
      </c>
      <c r="I18" s="51">
        <f>'💾 RAW_Datastores'!I11</f>
        <v/>
      </c>
      <c r="J18" s="50">
        <f>IFERROR(G18-H18,0)</f>
        <v/>
      </c>
      <c r="K18" s="58">
        <f>IFERROR(J18/G18,0)</f>
        <v/>
      </c>
      <c r="L18" s="49">
        <f>IF(K18&lt;0.7,"✅ OK",IF(K18&lt;0.85,"⚠️ Warning","🔴 Critique"))</f>
        <v/>
      </c>
      <c r="M18" s="49">
        <f>IF(C18="red","🔴 Statut rouge",IF(K18&gt;0.90,"🔴 Espace critique",IF(K18&gt;0.80,"⚠️ Surveiller","✅ Normal")))</f>
        <v/>
      </c>
    </row>
    <row r="19" ht="18" customHeight="1">
      <c r="A19" s="46">
        <f>'💾 RAW_Datastores'!A12</f>
        <v/>
      </c>
      <c r="B19" s="46">
        <f>'💾 RAW_Datastores'!B12</f>
        <v/>
      </c>
      <c r="C19" s="46">
        <f>'💾 RAW_Datastores'!C12</f>
        <v/>
      </c>
      <c r="D19" s="46">
        <f>'💾 RAW_Datastores'!D12</f>
        <v/>
      </c>
      <c r="E19" s="46">
        <f>'💾 RAW_Datastores'!E12</f>
        <v/>
      </c>
      <c r="F19" s="48">
        <f>'💾 RAW_Datastores'!F12</f>
        <v/>
      </c>
      <c r="G19" s="47">
        <f>'💾 RAW_Datastores'!G12</f>
        <v/>
      </c>
      <c r="H19" s="47">
        <f>'💾 RAW_Datastores'!H12</f>
        <v/>
      </c>
      <c r="I19" s="48">
        <f>'💾 RAW_Datastores'!I12</f>
        <v/>
      </c>
      <c r="J19" s="47">
        <f>IFERROR(G19-H19,0)</f>
        <v/>
      </c>
      <c r="K19" s="57">
        <f>IFERROR(J19/G19,0)</f>
        <v/>
      </c>
      <c r="L19" s="46">
        <f>IF(K19&lt;0.7,"✅ OK",IF(K19&lt;0.85,"⚠️ Warning","🔴 Critique"))</f>
        <v/>
      </c>
      <c r="M19" s="46">
        <f>IF(C19="red","🔴 Statut rouge",IF(K19&gt;0.90,"🔴 Espace critique",IF(K19&gt;0.80,"⚠️ Surveiller","✅ Normal")))</f>
        <v/>
      </c>
    </row>
    <row r="20" ht="18" customHeight="1">
      <c r="A20" s="49">
        <f>'💾 RAW_Datastores'!A13</f>
        <v/>
      </c>
      <c r="B20" s="49">
        <f>'💾 RAW_Datastores'!B13</f>
        <v/>
      </c>
      <c r="C20" s="49">
        <f>'💾 RAW_Datastores'!C13</f>
        <v/>
      </c>
      <c r="D20" s="49">
        <f>'💾 RAW_Datastores'!D13</f>
        <v/>
      </c>
      <c r="E20" s="49">
        <f>'💾 RAW_Datastores'!E13</f>
        <v/>
      </c>
      <c r="F20" s="51">
        <f>'💾 RAW_Datastores'!F13</f>
        <v/>
      </c>
      <c r="G20" s="50">
        <f>'💾 RAW_Datastores'!G13</f>
        <v/>
      </c>
      <c r="H20" s="50">
        <f>'💾 RAW_Datastores'!H13</f>
        <v/>
      </c>
      <c r="I20" s="51">
        <f>'💾 RAW_Datastores'!I13</f>
        <v/>
      </c>
      <c r="J20" s="50">
        <f>IFERROR(G20-H20,0)</f>
        <v/>
      </c>
      <c r="K20" s="58">
        <f>IFERROR(J20/G20,0)</f>
        <v/>
      </c>
      <c r="L20" s="49">
        <f>IF(K20&lt;0.7,"✅ OK",IF(K20&lt;0.85,"⚠️ Warning","🔴 Critique"))</f>
        <v/>
      </c>
      <c r="M20" s="49">
        <f>IF(C20="red","🔴 Statut rouge",IF(K20&gt;0.90,"🔴 Espace critique",IF(K20&gt;0.80,"⚠️ Surveiller","✅ Normal")))</f>
        <v/>
      </c>
    </row>
    <row r="21" ht="22" customHeight="1">
      <c r="A21" s="52" t="inlineStr">
        <is>
          <t>TOTAUX</t>
        </is>
      </c>
      <c r="B21" s="52" t="n"/>
      <c r="C21" s="52" t="n"/>
      <c r="D21" s="52" t="n"/>
      <c r="E21" s="52" t="n"/>
      <c r="F21" s="54">
        <f>SUM(F11:F20)</f>
        <v/>
      </c>
      <c r="G21" s="53">
        <f>SUM(G11:G20)</f>
        <v/>
      </c>
      <c r="H21" s="53">
        <f>SUM(H11:H20)</f>
        <v/>
      </c>
      <c r="I21" s="52" t="n"/>
      <c r="J21" s="53">
        <f>SUM(J11:J20)</f>
        <v/>
      </c>
      <c r="K21" s="59">
        <f>IFERROR(SUM(J11:J20)/SUM(G11:G20),0)</f>
        <v/>
      </c>
      <c r="L21" s="52" t="n"/>
      <c r="M21" s="52" t="n"/>
    </row>
    <row r="23" ht="20" customHeight="1">
      <c r="A23" s="56" t="inlineStr">
        <is>
          <t xml:space="preserve">  📊  GRAPHIQUES STOCKAGE</t>
        </is>
      </c>
    </row>
  </sheetData>
  <mergeCells count="20">
    <mergeCell ref="A9:N9"/>
    <mergeCell ref="J5:K5"/>
    <mergeCell ref="M5:N5"/>
    <mergeCell ref="A6:B6"/>
    <mergeCell ref="D6:E6"/>
    <mergeCell ref="A2:O2"/>
    <mergeCell ref="A7:B7"/>
    <mergeCell ref="G7:H7"/>
    <mergeCell ref="J6:K6"/>
    <mergeCell ref="G6:H6"/>
    <mergeCell ref="M7:N7"/>
    <mergeCell ref="D7:E7"/>
    <mergeCell ref="M6:N6"/>
    <mergeCell ref="J7:K7"/>
    <mergeCell ref="A5:B5"/>
    <mergeCell ref="G5:H5"/>
    <mergeCell ref="A23:N23"/>
    <mergeCell ref="A4:N4"/>
    <mergeCell ref="D5:E5"/>
    <mergeCell ref="A1:O1"/>
  </mergeCells>
  <conditionalFormatting sqref="K11:K20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B1FA2"/>
    <outlinePr summaryBelow="1" summaryRight="1"/>
    <pageSetUpPr/>
  </sheetPr>
  <dimension ref="A1:Q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8" customHeight="1">
      <c r="A1" s="1" t="inlineStr">
        <is>
          <t>🔮  PROJECTIONS DE CAPACITÉ – 12 MOIS</t>
        </is>
      </c>
    </row>
    <row r="2" ht="14" customHeight="1">
      <c r="A2" s="2" t="inlineStr">
        <is>
          <t>Modifier les cellules BLEUES pour ajuster les hypothèses  |  Résultats recalculés automatiquement</t>
        </is>
      </c>
    </row>
    <row r="4" ht="20" customHeight="1">
      <c r="A4" s="45" t="inlineStr">
        <is>
          <t xml:space="preserve">  ⚙️  HYPOTHÈSES DE CROISSANCE  (cellules bleues = modifiables)</t>
        </is>
      </c>
    </row>
    <row r="5" ht="19" customHeight="1">
      <c r="A5" s="8" t="inlineStr">
        <is>
          <t>Croissance VMs / mois</t>
        </is>
      </c>
      <c r="B5" s="60" t="n">
        <v>0.05</v>
      </c>
      <c r="C5" s="61" t="inlineStr">
        <is>
          <t>← % d'augmentation du nb de VMs chaque mois</t>
        </is>
      </c>
    </row>
    <row r="6" ht="19" customHeight="1">
      <c r="A6" s="8" t="inlineStr">
        <is>
          <t>Croissance CPU consommé / mois</t>
        </is>
      </c>
      <c r="B6" s="60" t="n">
        <v>0.04</v>
      </c>
      <c r="C6" s="61" t="inlineStr">
        <is>
          <t>← % d'augmentation de l'usage CPU chaque mois</t>
        </is>
      </c>
    </row>
    <row r="7" ht="19" customHeight="1">
      <c r="A7" s="8" t="inlineStr">
        <is>
          <t>Croissance stockage / mois</t>
        </is>
      </c>
      <c r="B7" s="60" t="n">
        <v>0.06</v>
      </c>
      <c r="C7" s="61" t="inlineStr">
        <is>
          <t>← % d'augmentation du stockage utilisé chaque mois</t>
        </is>
      </c>
    </row>
    <row r="8" ht="19" customHeight="1">
      <c r="A8" s="8" t="inlineStr">
        <is>
          <t>Croissance RAM / mois</t>
        </is>
      </c>
      <c r="B8" s="60" t="n">
        <v>0.04</v>
      </c>
      <c r="C8" s="61" t="inlineStr">
        <is>
          <t>← % d'augmentation de la RAM consommée chaque mois</t>
        </is>
      </c>
    </row>
    <row r="9" ht="19" customHeight="1">
      <c r="A9" s="8" t="inlineStr">
        <is>
          <t>Seuil alerte CPU (%)</t>
        </is>
      </c>
      <c r="B9" s="60" t="n">
        <v>0.8</v>
      </c>
      <c r="C9" s="61" t="inlineStr">
        <is>
          <t>← Au-delà de ce seuil → Warning CPU</t>
        </is>
      </c>
    </row>
    <row r="10" ht="19" customHeight="1">
      <c r="A10" s="8" t="inlineStr">
        <is>
          <t>Seuil alerte RAM (%)</t>
        </is>
      </c>
      <c r="B10" s="60" t="n">
        <v>0.85</v>
      </c>
      <c r="C10" s="61" t="inlineStr">
        <is>
          <t>← Au-delà de ce seuil → Warning RAM</t>
        </is>
      </c>
    </row>
    <row r="11" ht="19" customHeight="1">
      <c r="A11" s="8" t="inlineStr">
        <is>
          <t>Seuil alerte Stockage (%)</t>
        </is>
      </c>
      <c r="B11" s="60" t="n">
        <v>0.85</v>
      </c>
      <c r="C11" s="61" t="inlineStr">
        <is>
          <t>← Au-delà de ce seuil → Warning Stockage</t>
        </is>
      </c>
    </row>
    <row r="13" ht="20" customHeight="1">
      <c r="A13" s="45" t="inlineStr">
        <is>
          <t xml:space="preserve">  📅  TABLEAU DE PROJECTION M0 → M+12</t>
        </is>
      </c>
    </row>
    <row r="14" ht="32" customHeight="1">
      <c r="A14" s="52" t="inlineStr">
        <is>
          <t>Indicateur</t>
        </is>
      </c>
      <c r="B14" s="62" t="inlineStr">
        <is>
          <t>M0
(Actuel)</t>
        </is>
      </c>
      <c r="C14" s="20" t="inlineStr">
        <is>
          <t>M+1</t>
        </is>
      </c>
      <c r="D14" s="20" t="inlineStr">
        <is>
          <t>M+2</t>
        </is>
      </c>
      <c r="E14" s="20" t="inlineStr">
        <is>
          <t>M+3</t>
        </is>
      </c>
      <c r="F14" s="20" t="inlineStr">
        <is>
          <t>M+4</t>
        </is>
      </c>
      <c r="G14" s="20" t="inlineStr">
        <is>
          <t>M+5</t>
        </is>
      </c>
      <c r="H14" s="20" t="inlineStr">
        <is>
          <t>M+6</t>
        </is>
      </c>
      <c r="I14" s="20" t="inlineStr">
        <is>
          <t>M+7</t>
        </is>
      </c>
      <c r="J14" s="20" t="inlineStr">
        <is>
          <t>M+8</t>
        </is>
      </c>
      <c r="K14" s="20" t="inlineStr">
        <is>
          <t>M+9</t>
        </is>
      </c>
      <c r="L14" s="20" t="inlineStr">
        <is>
          <t>M+10</t>
        </is>
      </c>
      <c r="M14" s="20" t="inlineStr">
        <is>
          <t>M+11</t>
        </is>
      </c>
      <c r="N14" s="20" t="inlineStr">
        <is>
          <t>M+12</t>
        </is>
      </c>
    </row>
    <row r="15" ht="19" customHeight="1">
      <c r="A15" s="63" t="inlineStr">
        <is>
          <t>── VMs ──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</row>
    <row r="16" ht="19" customHeight="1">
      <c r="A16" s="65" t="inlineStr">
        <is>
          <t>Nb VMs (total)</t>
        </is>
      </c>
      <c r="B16" s="50">
        <f>COUNTA('⚡ RAW_VMs'!A4:A5000)-COUNTBLANK('⚡ RAW_VMs'!A4:A5000)</f>
        <v/>
      </c>
      <c r="C16" s="50">
        <f>B16*(1+B5)</f>
        <v/>
      </c>
      <c r="D16" s="50">
        <f>C16*(1+B5)</f>
        <v/>
      </c>
      <c r="E16" s="50">
        <f>D16*(1+B5)</f>
        <v/>
      </c>
      <c r="F16" s="50">
        <f>E16*(1+B5)</f>
        <v/>
      </c>
      <c r="G16" s="50">
        <f>F16*(1+B5)</f>
        <v/>
      </c>
      <c r="H16" s="50">
        <f>G16*(1+B5)</f>
        <v/>
      </c>
      <c r="I16" s="50">
        <f>H16*(1+B5)</f>
        <v/>
      </c>
      <c r="J16" s="50">
        <f>I16*(1+B5)</f>
        <v/>
      </c>
      <c r="K16" s="50">
        <f>J16*(1+B5)</f>
        <v/>
      </c>
      <c r="L16" s="50">
        <f>K16*(1+B5)</f>
        <v/>
      </c>
      <c r="M16" s="50">
        <f>L16*(1+B5)</f>
        <v/>
      </c>
      <c r="N16" s="50">
        <f>M16*(1+B5)</f>
        <v/>
      </c>
    </row>
    <row r="17" ht="19" customHeight="1">
      <c r="A17" s="65" t="inlineStr">
        <is>
          <t>VMs poweredOn</t>
        </is>
      </c>
      <c r="B17" s="47">
        <f>COUNTIF('⚡ RAW_VMs'!B4:B5000,"poweredOn")</f>
        <v/>
      </c>
      <c r="C17" s="47">
        <f>B17*(1+B5)</f>
        <v/>
      </c>
      <c r="D17" s="47">
        <f>C17*(1+B5)</f>
        <v/>
      </c>
      <c r="E17" s="47">
        <f>D17*(1+B5)</f>
        <v/>
      </c>
      <c r="F17" s="47">
        <f>E17*(1+B5)</f>
        <v/>
      </c>
      <c r="G17" s="47">
        <f>F17*(1+B5)</f>
        <v/>
      </c>
      <c r="H17" s="47">
        <f>G17*(1+B5)</f>
        <v/>
      </c>
      <c r="I17" s="47">
        <f>H17*(1+B5)</f>
        <v/>
      </c>
      <c r="J17" s="47">
        <f>I17*(1+B5)</f>
        <v/>
      </c>
      <c r="K17" s="47">
        <f>J17*(1+B5)</f>
        <v/>
      </c>
      <c r="L17" s="47">
        <f>K17*(1+B5)</f>
        <v/>
      </c>
      <c r="M17" s="47">
        <f>L17*(1+B5)</f>
        <v/>
      </c>
      <c r="N17" s="47">
        <f>M17*(1+B5)</f>
        <v/>
      </c>
    </row>
    <row r="18" ht="19" customHeight="1">
      <c r="A18" s="63" t="inlineStr">
        <is>
          <t>── CPU ──</t>
        </is>
      </c>
      <c r="B18" s="64" t="n"/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</row>
    <row r="19" ht="19" customHeight="1">
      <c r="A19" s="65" t="inlineStr">
        <is>
          <t>CPU consommé moy. (%)</t>
        </is>
      </c>
      <c r="B19" s="57">
        <f>IFERROR(AVERAGEIF('🖥️ RAW_Hosts'!B4:B5000,"connected",'🖥️ RAW_Hosts'!F4:F5000),0)</f>
        <v/>
      </c>
      <c r="C19" s="57">
        <f>B19*(1+B6)</f>
        <v/>
      </c>
      <c r="D19" s="57">
        <f>C19*(1+B6)</f>
        <v/>
      </c>
      <c r="E19" s="57">
        <f>D19*(1+B6)</f>
        <v/>
      </c>
      <c r="F19" s="57">
        <f>E19*(1+B6)</f>
        <v/>
      </c>
      <c r="G19" s="57">
        <f>F19*(1+B6)</f>
        <v/>
      </c>
      <c r="H19" s="57">
        <f>G19*(1+B6)</f>
        <v/>
      </c>
      <c r="I19" s="57">
        <f>H19*(1+B6)</f>
        <v/>
      </c>
      <c r="J19" s="57">
        <f>I19*(1+B6)</f>
        <v/>
      </c>
      <c r="K19" s="57">
        <f>J19*(1+B6)</f>
        <v/>
      </c>
      <c r="L19" s="57">
        <f>K19*(1+B6)</f>
        <v/>
      </c>
      <c r="M19" s="57">
        <f>L19*(1+B6)</f>
        <v/>
      </c>
      <c r="N19" s="57">
        <f>M19*(1+B6)</f>
        <v/>
      </c>
    </row>
    <row r="20" ht="19" customHeight="1">
      <c r="A20" s="65" t="inlineStr">
        <is>
          <t>Cœurs CPU libres</t>
        </is>
      </c>
      <c r="B20" s="50">
        <f>SUMIF('🖥️ RAW_Hosts'!B4:B5000,"connected",'🖥️ RAW_Hosts'!J4:J5000)</f>
        <v/>
      </c>
      <c r="C20" s="50">
        <f>B20</f>
        <v/>
      </c>
      <c r="D20" s="50">
        <f>C20</f>
        <v/>
      </c>
      <c r="E20" s="50">
        <f>D20</f>
        <v/>
      </c>
      <c r="F20" s="50">
        <f>E20</f>
        <v/>
      </c>
      <c r="G20" s="50">
        <f>F20</f>
        <v/>
      </c>
      <c r="H20" s="50">
        <f>G20</f>
        <v/>
      </c>
      <c r="I20" s="50">
        <f>H20</f>
        <v/>
      </c>
      <c r="J20" s="50">
        <f>I20</f>
        <v/>
      </c>
      <c r="K20" s="50">
        <f>J20</f>
        <v/>
      </c>
      <c r="L20" s="50">
        <f>K20</f>
        <v/>
      </c>
      <c r="M20" s="50">
        <f>L20</f>
        <v/>
      </c>
      <c r="N20" s="50">
        <f>M20</f>
        <v/>
      </c>
    </row>
    <row r="21" ht="19" customHeight="1">
      <c r="A21" s="65" t="inlineStr">
        <is>
          <t>Statut CPU</t>
        </is>
      </c>
      <c r="B21" s="46">
        <f>IF(B19="","",IF(ISNUMBER(B19),IF(B19&lt;B9,"✅ OK",IF(B19&lt;0.95,"⚠️ Warning","🔴 Critique")),"—"))</f>
        <v/>
      </c>
      <c r="C21" s="46">
        <f>IF(C19="","",IF(ISNUMBER(C19),IF(C19&lt;B9,"✅ OK",IF(C19&lt;0.95,"⚠️ Warning","🔴 Critique")),"—"))</f>
        <v/>
      </c>
      <c r="D21" s="46">
        <f>IF(D19="","",IF(ISNUMBER(D19),IF(D19&lt;B9,"✅ OK",IF(D19&lt;0.95,"⚠️ Warning","🔴 Critique")),"—"))</f>
        <v/>
      </c>
      <c r="E21" s="46">
        <f>IF(E19="","",IF(ISNUMBER(E19),IF(E19&lt;B9,"✅ OK",IF(E19&lt;0.95,"⚠️ Warning","🔴 Critique")),"—"))</f>
        <v/>
      </c>
      <c r="F21" s="46">
        <f>IF(F19="","",IF(ISNUMBER(F19),IF(F19&lt;B9,"✅ OK",IF(F19&lt;0.95,"⚠️ Warning","🔴 Critique")),"—"))</f>
        <v/>
      </c>
      <c r="G21" s="46">
        <f>IF(G19="","",IF(ISNUMBER(G19),IF(G19&lt;B9,"✅ OK",IF(G19&lt;0.95,"⚠️ Warning","🔴 Critique")),"—"))</f>
        <v/>
      </c>
      <c r="H21" s="46">
        <f>IF(H19="","",IF(ISNUMBER(H19),IF(H19&lt;B9,"✅ OK",IF(H19&lt;0.95,"⚠️ Warning","🔴 Critique")),"—"))</f>
        <v/>
      </c>
      <c r="I21" s="46">
        <f>IF(I19="","",IF(ISNUMBER(I19),IF(I19&lt;B9,"✅ OK",IF(I19&lt;0.95,"⚠️ Warning","🔴 Critique")),"—"))</f>
        <v/>
      </c>
      <c r="J21" s="46">
        <f>IF(J19="","",IF(ISNUMBER(J19),IF(J19&lt;B9,"✅ OK",IF(J19&lt;0.95,"⚠️ Warning","🔴 Critique")),"—"))</f>
        <v/>
      </c>
      <c r="K21" s="46">
        <f>IF(K19="","",IF(ISNUMBER(K19),IF(K19&lt;B9,"✅ OK",IF(K19&lt;0.95,"⚠️ Warning","🔴 Critique")),"—"))</f>
        <v/>
      </c>
      <c r="L21" s="46">
        <f>IF(L19="","",IF(ISNUMBER(L19),IF(L19&lt;B9,"✅ OK",IF(L19&lt;0.95,"⚠️ Warning","🔴 Critique")),"—"))</f>
        <v/>
      </c>
      <c r="M21" s="46">
        <f>IF(M19="","",IF(ISNUMBER(M19),IF(M19&lt;B9,"✅ OK",IF(M19&lt;0.95,"⚠️ Warning","🔴 Critique")),"—"))</f>
        <v/>
      </c>
      <c r="N21" s="46">
        <f>IF(N19="","",IF(ISNUMBER(N19),IF(N19&lt;B9,"✅ OK",IF(N19&lt;0.95,"⚠️ Warning","🔴 Critique")),"—"))</f>
        <v/>
      </c>
    </row>
    <row r="22" ht="19" customHeight="1">
      <c r="A22" s="63" t="inlineStr">
        <is>
          <t>── RAM ──</t>
        </is>
      </c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</row>
    <row r="23" ht="19" customHeight="1">
      <c r="A23" s="65" t="inlineStr">
        <is>
          <t>RAM consommée moy. (MB)</t>
        </is>
      </c>
      <c r="B23" s="47">
        <f>IFERROR(AVERAGEIF('🖥️ RAW_Hosts'!B4:B5000,"connected",'🖥️ RAW_Hosts'!L4:L5000),0)</f>
        <v/>
      </c>
      <c r="C23" s="47">
        <f>B23*(1+B8)</f>
        <v/>
      </c>
      <c r="D23" s="47">
        <f>C23*(1+B8)</f>
        <v/>
      </c>
      <c r="E23" s="47">
        <f>D23*(1+B8)</f>
        <v/>
      </c>
      <c r="F23" s="47">
        <f>E23*(1+B8)</f>
        <v/>
      </c>
      <c r="G23" s="47">
        <f>F23*(1+B8)</f>
        <v/>
      </c>
      <c r="H23" s="47">
        <f>G23*(1+B8)</f>
        <v/>
      </c>
      <c r="I23" s="47">
        <f>H23*(1+B8)</f>
        <v/>
      </c>
      <c r="J23" s="47">
        <f>I23*(1+B8)</f>
        <v/>
      </c>
      <c r="K23" s="47">
        <f>J23*(1+B8)</f>
        <v/>
      </c>
      <c r="L23" s="47">
        <f>K23*(1+B8)</f>
        <v/>
      </c>
      <c r="M23" s="47">
        <f>L23*(1+B8)</f>
        <v/>
      </c>
      <c r="N23" s="47">
        <f>M23*(1+B8)</f>
        <v/>
      </c>
    </row>
    <row r="24" ht="19" customHeight="1">
      <c r="A24" s="65" t="inlineStr">
        <is>
          <t>RAM totale (GB)</t>
        </is>
      </c>
      <c r="B24" s="50">
        <f>IFERROR(ROUND(SUMIF('🖥️ RAW_Hosts'!B4:B5000,"connected",'🖥️ RAW_Hosts'!G4:G5000)/1024,0),0)</f>
        <v/>
      </c>
      <c r="C24" s="50">
        <f>B24</f>
        <v/>
      </c>
      <c r="D24" s="50">
        <f>C24</f>
        <v/>
      </c>
      <c r="E24" s="50">
        <f>D24</f>
        <v/>
      </c>
      <c r="F24" s="50">
        <f>E24</f>
        <v/>
      </c>
      <c r="G24" s="50">
        <f>F24</f>
        <v/>
      </c>
      <c r="H24" s="50">
        <f>G24</f>
        <v/>
      </c>
      <c r="I24" s="50">
        <f>H24</f>
        <v/>
      </c>
      <c r="J24" s="50">
        <f>I24</f>
        <v/>
      </c>
      <c r="K24" s="50">
        <f>J24</f>
        <v/>
      </c>
      <c r="L24" s="50">
        <f>K24</f>
        <v/>
      </c>
      <c r="M24" s="50">
        <f>L24</f>
        <v/>
      </c>
      <c r="N24" s="50">
        <f>M24</f>
        <v/>
      </c>
    </row>
    <row r="25" ht="19" customHeight="1">
      <c r="A25" s="65" t="inlineStr">
        <is>
          <t>RAM Usage %</t>
        </is>
      </c>
      <c r="B25" s="57">
        <f>IFERROR(B23/(B24*1024),0)</f>
        <v/>
      </c>
      <c r="C25" s="57">
        <f>IFERROR(C23/(C24*1024),0)</f>
        <v/>
      </c>
      <c r="D25" s="57">
        <f>IFERROR(D23/(D24*1024),0)</f>
        <v/>
      </c>
      <c r="E25" s="57">
        <f>IFERROR(E23/(E24*1024),0)</f>
        <v/>
      </c>
      <c r="F25" s="57">
        <f>IFERROR(F23/(F24*1024),0)</f>
        <v/>
      </c>
      <c r="G25" s="57">
        <f>IFERROR(G23/(G24*1024),0)</f>
        <v/>
      </c>
      <c r="H25" s="57">
        <f>IFERROR(H23/(H24*1024),0)</f>
        <v/>
      </c>
      <c r="I25" s="57">
        <f>IFERROR(I23/(I24*1024),0)</f>
        <v/>
      </c>
      <c r="J25" s="57">
        <f>IFERROR(J23/(J24*1024),0)</f>
        <v/>
      </c>
      <c r="K25" s="57">
        <f>IFERROR(K23/(K24*1024),0)</f>
        <v/>
      </c>
      <c r="L25" s="57">
        <f>IFERROR(L23/(L24*1024),0)</f>
        <v/>
      </c>
      <c r="M25" s="57">
        <f>IFERROR(M23/(M24*1024),0)</f>
        <v/>
      </c>
      <c r="N25" s="57">
        <f>IFERROR(N23/(N24*1024),0)</f>
        <v/>
      </c>
    </row>
    <row r="26" ht="19" customHeight="1">
      <c r="A26" s="65" t="inlineStr">
        <is>
          <t>Statut RAM</t>
        </is>
      </c>
      <c r="B26" s="49">
        <f>IF(B25&lt;B10,"✅ OK",IF(B25&lt;0.95,"⚠️ Warning","🔴 Critique"))</f>
        <v/>
      </c>
      <c r="C26" s="49">
        <f>IF(C25&lt;B10,"✅ OK",IF(C25&lt;0.95,"⚠️ Warning","🔴 Critique"))</f>
        <v/>
      </c>
      <c r="D26" s="49">
        <f>IF(D25&lt;B10,"✅ OK",IF(D25&lt;0.95,"⚠️ Warning","🔴 Critique"))</f>
        <v/>
      </c>
      <c r="E26" s="49">
        <f>IF(E25&lt;B10,"✅ OK",IF(E25&lt;0.95,"⚠️ Warning","🔴 Critique"))</f>
        <v/>
      </c>
      <c r="F26" s="49">
        <f>IF(F25&lt;B10,"✅ OK",IF(F25&lt;0.95,"⚠️ Warning","🔴 Critique"))</f>
        <v/>
      </c>
      <c r="G26" s="49">
        <f>IF(G25&lt;B10,"✅ OK",IF(G25&lt;0.95,"⚠️ Warning","🔴 Critique"))</f>
        <v/>
      </c>
      <c r="H26" s="49">
        <f>IF(H25&lt;B10,"✅ OK",IF(H25&lt;0.95,"⚠️ Warning","🔴 Critique"))</f>
        <v/>
      </c>
      <c r="I26" s="49">
        <f>IF(I25&lt;B10,"✅ OK",IF(I25&lt;0.95,"⚠️ Warning","🔴 Critique"))</f>
        <v/>
      </c>
      <c r="J26" s="49">
        <f>IF(J25&lt;B10,"✅ OK",IF(J25&lt;0.95,"⚠️ Warning","🔴 Critique"))</f>
        <v/>
      </c>
      <c r="K26" s="49">
        <f>IF(K25&lt;B10,"✅ OK",IF(K25&lt;0.95,"⚠️ Warning","🔴 Critique"))</f>
        <v/>
      </c>
      <c r="L26" s="49">
        <f>IF(L25&lt;B10,"✅ OK",IF(L25&lt;0.95,"⚠️ Warning","🔴 Critique"))</f>
        <v/>
      </c>
      <c r="M26" s="49">
        <f>IF(M25&lt;B10,"✅ OK",IF(M25&lt;0.95,"⚠️ Warning","🔴 Critique"))</f>
        <v/>
      </c>
      <c r="N26" s="49">
        <f>IF(N25&lt;B10,"✅ OK",IF(N25&lt;0.95,"⚠️ Warning","🔴 Critique"))</f>
        <v/>
      </c>
    </row>
    <row r="27" ht="19" customHeight="1">
      <c r="A27" s="63" t="inlineStr">
        <is>
          <t>── Stockage ──</t>
        </is>
      </c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</row>
    <row r="28" ht="19" customHeight="1">
      <c r="A28" s="65" t="inlineStr">
        <is>
          <t>Stockage utilisé (GB)</t>
        </is>
      </c>
      <c r="B28" s="50">
        <f>IFERROR(SUM('💾 RAW_Datastores'!G4:G5000)-SUM('💾 RAW_Datastores'!H4:H5000),0)</f>
        <v/>
      </c>
      <c r="C28" s="50">
        <f>B28*(1+B7)</f>
        <v/>
      </c>
      <c r="D28" s="50">
        <f>C28*(1+B7)</f>
        <v/>
      </c>
      <c r="E28" s="50">
        <f>D28*(1+B7)</f>
        <v/>
      </c>
      <c r="F28" s="50">
        <f>E28*(1+B7)</f>
        <v/>
      </c>
      <c r="G28" s="50">
        <f>F28*(1+B7)</f>
        <v/>
      </c>
      <c r="H28" s="50">
        <f>G28*(1+B7)</f>
        <v/>
      </c>
      <c r="I28" s="50">
        <f>H28*(1+B7)</f>
        <v/>
      </c>
      <c r="J28" s="50">
        <f>I28*(1+B7)</f>
        <v/>
      </c>
      <c r="K28" s="50">
        <f>J28*(1+B7)</f>
        <v/>
      </c>
      <c r="L28" s="50">
        <f>K28*(1+B7)</f>
        <v/>
      </c>
      <c r="M28" s="50">
        <f>L28*(1+B7)</f>
        <v/>
      </c>
      <c r="N28" s="50">
        <f>M28*(1+B7)</f>
        <v/>
      </c>
    </row>
    <row r="29" ht="19" customHeight="1">
      <c r="A29" s="65" t="inlineStr">
        <is>
          <t>Stockage total (GB)</t>
        </is>
      </c>
      <c r="B29" s="47">
        <f>IFERROR(SUM('💾 RAW_Datastores'!G4:G5000),0)</f>
        <v/>
      </c>
      <c r="C29" s="47">
        <f>B29</f>
        <v/>
      </c>
      <c r="D29" s="47">
        <f>C29</f>
        <v/>
      </c>
      <c r="E29" s="47">
        <f>D29</f>
        <v/>
      </c>
      <c r="F29" s="47">
        <f>E29</f>
        <v/>
      </c>
      <c r="G29" s="47">
        <f>F29</f>
        <v/>
      </c>
      <c r="H29" s="47">
        <f>G29</f>
        <v/>
      </c>
      <c r="I29" s="47">
        <f>H29</f>
        <v/>
      </c>
      <c r="J29" s="47">
        <f>I29</f>
        <v/>
      </c>
      <c r="K29" s="47">
        <f>J29</f>
        <v/>
      </c>
      <c r="L29" s="47">
        <f>K29</f>
        <v/>
      </c>
      <c r="M29" s="47">
        <f>L29</f>
        <v/>
      </c>
      <c r="N29" s="47">
        <f>M29</f>
        <v/>
      </c>
    </row>
    <row r="30" ht="19" customHeight="1">
      <c r="A30" s="65" t="inlineStr">
        <is>
          <t>Stockage Usage %</t>
        </is>
      </c>
      <c r="B30" s="58">
        <f>IFERROR(B28/B29,0)</f>
        <v/>
      </c>
      <c r="C30" s="58">
        <f>IFERROR(C28/C29,0)</f>
        <v/>
      </c>
      <c r="D30" s="58">
        <f>IFERROR(D28/D29,0)</f>
        <v/>
      </c>
      <c r="E30" s="58">
        <f>IFERROR(E28/E29,0)</f>
        <v/>
      </c>
      <c r="F30" s="58">
        <f>IFERROR(F28/F29,0)</f>
        <v/>
      </c>
      <c r="G30" s="58">
        <f>IFERROR(G28/G29,0)</f>
        <v/>
      </c>
      <c r="H30" s="58">
        <f>IFERROR(H28/H29,0)</f>
        <v/>
      </c>
      <c r="I30" s="58">
        <f>IFERROR(I28/I29,0)</f>
        <v/>
      </c>
      <c r="J30" s="58">
        <f>IFERROR(J28/J29,0)</f>
        <v/>
      </c>
      <c r="K30" s="58">
        <f>IFERROR(K28/K29,0)</f>
        <v/>
      </c>
      <c r="L30" s="58">
        <f>IFERROR(L28/L29,0)</f>
        <v/>
      </c>
      <c r="M30" s="58">
        <f>IFERROR(M28/M29,0)</f>
        <v/>
      </c>
      <c r="N30" s="58">
        <f>IFERROR(N28/N29,0)</f>
        <v/>
      </c>
    </row>
    <row r="31" ht="19" customHeight="1">
      <c r="A31" s="65" t="inlineStr">
        <is>
          <t>Statut Stockage</t>
        </is>
      </c>
      <c r="B31" s="46">
        <f>IF(B30&lt;B11,"✅ OK",IF(B30&lt;0.95,"⚠️ Warning","🔴 Critique"))</f>
        <v/>
      </c>
      <c r="C31" s="46">
        <f>IF(C30&lt;B11,"✅ OK",IF(C30&lt;0.95,"⚠️ Warning","🔴 Critique"))</f>
        <v/>
      </c>
      <c r="D31" s="46">
        <f>IF(D30&lt;B11,"✅ OK",IF(D30&lt;0.95,"⚠️ Warning","🔴 Critique"))</f>
        <v/>
      </c>
      <c r="E31" s="46">
        <f>IF(E30&lt;B11,"✅ OK",IF(E30&lt;0.95,"⚠️ Warning","🔴 Critique"))</f>
        <v/>
      </c>
      <c r="F31" s="46">
        <f>IF(F30&lt;B11,"✅ OK",IF(F30&lt;0.95,"⚠️ Warning","🔴 Critique"))</f>
        <v/>
      </c>
      <c r="G31" s="46">
        <f>IF(G30&lt;B11,"✅ OK",IF(G30&lt;0.95,"⚠️ Warning","🔴 Critique"))</f>
        <v/>
      </c>
      <c r="H31" s="46">
        <f>IF(H30&lt;B11,"✅ OK",IF(H30&lt;0.95,"⚠️ Warning","🔴 Critique"))</f>
        <v/>
      </c>
      <c r="I31" s="46">
        <f>IF(I30&lt;B11,"✅ OK",IF(I30&lt;0.95,"⚠️ Warning","🔴 Critique"))</f>
        <v/>
      </c>
      <c r="J31" s="46">
        <f>IF(J30&lt;B11,"✅ OK",IF(J30&lt;0.95,"⚠️ Warning","🔴 Critique"))</f>
        <v/>
      </c>
      <c r="K31" s="46">
        <f>IF(K30&lt;B11,"✅ OK",IF(K30&lt;0.95,"⚠️ Warning","🔴 Critique"))</f>
        <v/>
      </c>
      <c r="L31" s="46">
        <f>IF(L30&lt;B11,"✅ OK",IF(L30&lt;0.95,"⚠️ Warning","🔴 Critique"))</f>
        <v/>
      </c>
      <c r="M31" s="46">
        <f>IF(M30&lt;B11,"✅ OK",IF(M30&lt;0.95,"⚠️ Warning","🔴 Critique"))</f>
        <v/>
      </c>
      <c r="N31" s="46">
        <f>IF(N30&lt;B11,"✅ OK",IF(N30&lt;0.95,"⚠️ Warning","🔴 Critique"))</f>
        <v/>
      </c>
    </row>
    <row r="34" ht="20" customHeight="1">
      <c r="A34" s="45" t="inlineStr">
        <is>
          <t xml:space="preserve">  📈  GRAPHIQUES DE PROJECTION</t>
        </is>
      </c>
    </row>
  </sheetData>
  <mergeCells count="9">
    <mergeCell ref="A15:O15"/>
    <mergeCell ref="A4:E4"/>
    <mergeCell ref="A13:P13"/>
    <mergeCell ref="A2:Q2"/>
    <mergeCell ref="A34:P34"/>
    <mergeCell ref="A27:O27"/>
    <mergeCell ref="A22:O22"/>
    <mergeCell ref="A18:O18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62828"/>
    <outlinePr summaryBelow="1" summaryRight="1"/>
    <pageSetUpPr/>
  </sheetPr>
  <dimension ref="A1:U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10" customHeigh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</row>
    <row r="2" ht="58" customHeight="1">
      <c r="A2" s="66" t="n"/>
      <c r="B2" s="67" t="inlineStr">
        <is>
          <t>📈  VMWARE CAPACITY PLANNING — DASHBOARD</t>
        </is>
      </c>
    </row>
    <row r="3" ht="6" customHeight="1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</row>
    <row r="4" ht="18" customHeight="1">
      <c r="B4" s="69" t="inlineStr">
        <is>
          <t>Généré le 23 March 2026  |  vCenter 8.x  |  Données dynamiques — tableau extensible</t>
        </is>
      </c>
    </row>
    <row r="6" ht="20" customHeight="1">
      <c r="B6" s="45" t="inlineStr">
        <is>
          <t xml:space="preserve">  🖥️  COMPUTE</t>
        </is>
      </c>
    </row>
    <row r="7" ht="18" customHeight="1">
      <c r="B7" s="4" t="inlineStr">
        <is>
          <t>Hosts connectés</t>
        </is>
      </c>
      <c r="C7" s="33" t="n"/>
      <c r="F7" s="4" t="inlineStr">
        <is>
          <t>Total CPUs</t>
        </is>
      </c>
      <c r="G7" s="33" t="n"/>
      <c r="J7" s="34" t="inlineStr">
        <is>
          <t>CPU Consommé</t>
        </is>
      </c>
      <c r="K7" s="33" t="n"/>
      <c r="N7" s="35" t="inlineStr">
        <is>
          <t>Cœurs libres</t>
        </is>
      </c>
      <c r="O7" s="33" t="n"/>
      <c r="R7" s="4" t="inlineStr">
        <is>
          <t>RAM Totale</t>
        </is>
      </c>
      <c r="S7" s="33" t="n"/>
    </row>
    <row r="8" ht="38" customHeight="1">
      <c r="B8" s="37">
        <f>COUNTIF('🖥️ RAW_Hosts'!B4:B5000,"connected")</f>
        <v/>
      </c>
      <c r="C8" s="33" t="n"/>
      <c r="F8" s="37">
        <f>SUMIF('🖥️ RAW_Hosts'!B4:B5000,"connected",'🖥️ RAW_Hosts'!H4:H5000)</f>
        <v/>
      </c>
      <c r="G8" s="33" t="n"/>
      <c r="J8" s="38">
        <f>IFERROR(AVERAGEIF('🖥️ RAW_Hosts'!B4:B5000,"connected",'🖥️ RAW_Hosts'!F4:F5000),0)</f>
        <v/>
      </c>
      <c r="K8" s="33" t="n"/>
      <c r="N8" s="39">
        <f>SUMIF('🖥️ RAW_Hosts'!B4:B5000,"connected",'🖥️ RAW_Hosts'!J4:J5000)</f>
        <v/>
      </c>
      <c r="O8" s="33" t="n"/>
      <c r="R8" s="37">
        <f>IFERROR(ROUND(SUMIF('🖥️ RAW_Hosts'!B4:B5000,"connected",'🖥️ RAW_Hosts'!G4:G5000)/1024,0),0)</f>
        <v/>
      </c>
      <c r="S8" s="33" t="n"/>
    </row>
    <row r="9" ht="14" customHeight="1">
      <c r="B9" s="41" t="inlineStr">
        <is>
          <t>actifs</t>
        </is>
      </c>
      <c r="C9" s="33" t="n"/>
      <c r="F9" s="41" t="inlineStr">
        <is>
          <t>CPUs logiques</t>
        </is>
      </c>
      <c r="G9" s="33" t="n"/>
      <c r="J9" s="42" t="inlineStr">
        <is>
          <t>moy. % used</t>
        </is>
      </c>
      <c r="K9" s="33" t="n"/>
      <c r="N9" s="43" t="inlineStr">
        <is>
          <t>cores disponibles</t>
        </is>
      </c>
      <c r="O9" s="33" t="n"/>
      <c r="R9" s="41" t="inlineStr">
        <is>
          <t>GB cluster total</t>
        </is>
      </c>
      <c r="S9" s="33" t="n"/>
    </row>
    <row r="11" ht="20" customHeight="1">
      <c r="B11" s="56" t="inlineStr">
        <is>
          <t xml:space="preserve">  💽  STOCKAGE &amp; VMs</t>
        </is>
      </c>
    </row>
    <row r="12" ht="18" customHeight="1">
      <c r="B12" s="4" t="inlineStr">
        <is>
          <t>Total VMs</t>
        </is>
      </c>
      <c r="C12" s="33" t="n"/>
      <c r="F12" s="35" t="inlineStr">
        <is>
          <t>VMs actives</t>
        </is>
      </c>
      <c r="G12" s="33" t="n"/>
      <c r="J12" s="34" t="inlineStr">
        <is>
          <t>VMs éteintes</t>
        </is>
      </c>
      <c r="K12" s="33" t="n"/>
      <c r="N12" s="4" t="inlineStr">
        <is>
          <t>Cap. Stockage</t>
        </is>
      </c>
      <c r="O12" s="33" t="n"/>
      <c r="R12" s="70" t="inlineStr">
        <is>
          <t>Usage Stockage</t>
        </is>
      </c>
      <c r="S12" s="33" t="n"/>
    </row>
    <row r="13" ht="38" customHeight="1">
      <c r="B13" s="37">
        <f>COUNTA('⚡ RAW_VMs'!A4:A5000)-COUNTBLANK('⚡ RAW_VMs'!A4:A5000)</f>
        <v/>
      </c>
      <c r="C13" s="33" t="n"/>
      <c r="F13" s="39">
        <f>COUNTIF('⚡ RAW_VMs'!B4:B5000,"poweredOn")</f>
        <v/>
      </c>
      <c r="G13" s="33" t="n"/>
      <c r="J13" s="71">
        <f>COUNTIF('⚡ RAW_VMs'!B4:B5000,"poweredOff")</f>
        <v/>
      </c>
      <c r="K13" s="33" t="n"/>
      <c r="N13" s="55">
        <f>IFERROR(ROUND(SUM('💾 RAW_Datastores'!F4:F5000),1),0)</f>
        <v/>
      </c>
      <c r="O13" s="33" t="n"/>
      <c r="R13" s="72">
        <f>IFERROR(1-SUM('💾 RAW_Datastores'!H4:H5000)/SUM('💾 RAW_Datastores'!G4:G5000),0)</f>
        <v/>
      </c>
      <c r="S13" s="33" t="n"/>
    </row>
    <row r="14" ht="14" customHeight="1">
      <c r="B14" s="41" t="inlineStr">
        <is>
          <t>VMs inventaire</t>
        </is>
      </c>
      <c r="C14" s="33" t="n"/>
      <c r="F14" s="43" t="inlineStr">
        <is>
          <t>poweredOn</t>
        </is>
      </c>
      <c r="G14" s="33" t="n"/>
      <c r="J14" s="42" t="inlineStr">
        <is>
          <t>poweredOff</t>
        </is>
      </c>
      <c r="K14" s="33" t="n"/>
      <c r="N14" s="41" t="inlineStr">
        <is>
          <t>TB total</t>
        </is>
      </c>
      <c r="O14" s="33" t="n"/>
      <c r="R14" s="73" t="inlineStr">
        <is>
          <t>% utilisé global</t>
        </is>
      </c>
      <c r="S14" s="33" t="n"/>
    </row>
    <row r="16" ht="20" customHeight="1">
      <c r="B16" s="74" t="inlineStr">
        <is>
          <t xml:space="preserve">  🚨  ALERTES INFRASTRUCTURE</t>
        </is>
      </c>
    </row>
    <row r="17" ht="20" customHeight="1">
      <c r="B17" s="7" t="inlineStr">
        <is>
          <t>Hosts Status rouge</t>
        </is>
      </c>
      <c r="C17" s="75" t="n"/>
      <c r="D17" s="75" t="n"/>
      <c r="E17" s="75" t="n"/>
      <c r="F17" s="75" t="n"/>
      <c r="G17" s="33" t="n"/>
      <c r="H17" s="76">
        <f>COUNTIF('🖥️ RAW_Hosts'!C4:C5000,"red")</f>
        <v/>
      </c>
      <c r="I17" s="75" t="n"/>
      <c r="J17" s="33" t="n"/>
    </row>
    <row r="18" ht="20" customHeight="1">
      <c r="B18" s="7" t="inlineStr">
        <is>
          <t>Hosts Status jaune</t>
        </is>
      </c>
      <c r="C18" s="75" t="n"/>
      <c r="D18" s="75" t="n"/>
      <c r="E18" s="75" t="n"/>
      <c r="F18" s="75" t="n"/>
      <c r="G18" s="33" t="n"/>
      <c r="H18" s="77">
        <f>COUNTIF('🖥️ RAW_Hosts'!C4:C5000,"yellow")</f>
        <v/>
      </c>
      <c r="I18" s="75" t="n"/>
      <c r="J18" s="33" t="n"/>
    </row>
    <row r="19" ht="20" customHeight="1">
      <c r="B19" s="7" t="inlineStr">
        <is>
          <t>Datastores Status rouge</t>
        </is>
      </c>
      <c r="C19" s="75" t="n"/>
      <c r="D19" s="75" t="n"/>
      <c r="E19" s="75" t="n"/>
      <c r="F19" s="75" t="n"/>
      <c r="G19" s="33" t="n"/>
      <c r="H19" s="76">
        <f>COUNTIF('💾 RAW_Datastores'!C4:C5000,"red")</f>
        <v/>
      </c>
      <c r="I19" s="75" t="n"/>
      <c r="J19" s="33" t="n"/>
    </row>
    <row r="20" ht="20" customHeight="1">
      <c r="B20" s="7" t="inlineStr">
        <is>
          <t>VMs Status rouge</t>
        </is>
      </c>
      <c r="C20" s="75" t="n"/>
      <c r="D20" s="75" t="n"/>
      <c r="E20" s="75" t="n"/>
      <c r="F20" s="75" t="n"/>
      <c r="G20" s="33" t="n"/>
      <c r="H20" s="76">
        <f>COUNTIF('⚡ RAW_VMs'!C4:C5000,"red")</f>
        <v/>
      </c>
      <c r="I20" s="75" t="n"/>
      <c r="J20" s="33" t="n"/>
    </row>
    <row r="21" ht="20" customHeight="1">
      <c r="B21" s="7" t="inlineStr">
        <is>
          <t>VMs Status jaune</t>
        </is>
      </c>
      <c r="C21" s="75" t="n"/>
      <c r="D21" s="75" t="n"/>
      <c r="E21" s="75" t="n"/>
      <c r="F21" s="75" t="n"/>
      <c r="G21" s="33" t="n"/>
      <c r="H21" s="77">
        <f>COUNTIF('⚡ RAW_VMs'!C4:C5000,"yellow")</f>
        <v/>
      </c>
      <c r="I21" s="75" t="n"/>
      <c r="J21" s="33" t="n"/>
    </row>
    <row r="22" ht="20" customHeight="1">
      <c r="B22" s="7" t="inlineStr">
        <is>
          <t>DS &gt; 85% utilisé</t>
        </is>
      </c>
      <c r="C22" s="75" t="n"/>
      <c r="D22" s="75" t="n"/>
      <c r="E22" s="75" t="n"/>
      <c r="F22" s="75" t="n"/>
      <c r="G22" s="33" t="n"/>
      <c r="H22" s="76">
        <f>COUNTIF('💽 Capacity_Storage'!K11:K20,"&gt;0.85")</f>
        <v/>
      </c>
      <c r="I22" s="75" t="n"/>
      <c r="J22" s="33" t="n"/>
    </row>
    <row r="24" ht="20" customHeight="1">
      <c r="B24" s="3" t="inlineStr">
        <is>
          <t xml:space="preserve">  📊  VISUALISATIONS</t>
        </is>
      </c>
    </row>
    <row r="45">
      <c r="B45" s="78" t="inlineStr">
        <is>
          <t>État VM</t>
        </is>
      </c>
      <c r="C45" s="78" t="inlineStr">
        <is>
          <t>Count</t>
        </is>
      </c>
    </row>
    <row r="46">
      <c r="B46" t="inlineStr">
        <is>
          <t>poweredOn</t>
        </is>
      </c>
      <c r="C46">
        <f>COUNTIF('⚡ RAW_VMs'!B4:B5000,"poweredOn")</f>
        <v/>
      </c>
    </row>
    <row r="47">
      <c r="B47" t="inlineStr">
        <is>
          <t>poweredOff</t>
        </is>
      </c>
      <c r="C47">
        <f>COUNTIF('⚡ RAW_VMs'!B4:B5000,"poweredOff")</f>
        <v/>
      </c>
    </row>
  </sheetData>
  <mergeCells count="47">
    <mergeCell ref="B7:C7"/>
    <mergeCell ref="N7:O7"/>
    <mergeCell ref="J14:K14"/>
    <mergeCell ref="B17:G17"/>
    <mergeCell ref="B16:U16"/>
    <mergeCell ref="R13:S13"/>
    <mergeCell ref="H17:J17"/>
    <mergeCell ref="J13:K13"/>
    <mergeCell ref="F7:G7"/>
    <mergeCell ref="B12:C12"/>
    <mergeCell ref="J9:K9"/>
    <mergeCell ref="B19:G19"/>
    <mergeCell ref="F12:G12"/>
    <mergeCell ref="R7:S7"/>
    <mergeCell ref="N12:O12"/>
    <mergeCell ref="H22:J22"/>
    <mergeCell ref="H19:J19"/>
    <mergeCell ref="B11:U11"/>
    <mergeCell ref="B14:C14"/>
    <mergeCell ref="B2:U2"/>
    <mergeCell ref="B8:C8"/>
    <mergeCell ref="N8:O8"/>
    <mergeCell ref="N14:O14"/>
    <mergeCell ref="F8:G8"/>
    <mergeCell ref="B13:C13"/>
    <mergeCell ref="R12:S12"/>
    <mergeCell ref="B20:G20"/>
    <mergeCell ref="H18:J18"/>
    <mergeCell ref="J7:K7"/>
    <mergeCell ref="F13:G13"/>
    <mergeCell ref="B9:C9"/>
    <mergeCell ref="N13:O13"/>
    <mergeCell ref="F9:G9"/>
    <mergeCell ref="H20:J20"/>
    <mergeCell ref="N9:O9"/>
    <mergeCell ref="J12:K12"/>
    <mergeCell ref="B22:G22"/>
    <mergeCell ref="B6:U6"/>
    <mergeCell ref="B24:U24"/>
    <mergeCell ref="F14:G14"/>
    <mergeCell ref="B18:G18"/>
    <mergeCell ref="R14:S14"/>
    <mergeCell ref="R9:S9"/>
    <mergeCell ref="B21:G21"/>
    <mergeCell ref="J8:K8"/>
    <mergeCell ref="H21:J21"/>
    <mergeCell ref="R8:S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2026-03-23T09:06:21Z</dcterms:created>
  <dcterms:modified xmlns:dcterms="http://purl.org/dc/terms/" xmlns:xsi="http://www.w3.org/2001/XMLSchema-instance" xsi:type="dcterms:W3CDTF">2026-03-23T09:06:22Z</dcterms:modified>
</cp:coreProperties>
</file>