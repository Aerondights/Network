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xmlns:r="http://schemas.openxmlformats.org/officeDocument/2006/relationships" name="🖥️ RAW_Hosts" sheetId="1" state="visible" r:id="rId1"/>
    <sheet xmlns:r="http://schemas.openxmlformats.org/officeDocument/2006/relationships" name="💾 RAW_Datastores" sheetId="2" state="visible" r:id="rId2"/>
    <sheet xmlns:r="http://schemas.openxmlformats.org/officeDocument/2006/relationships" name="⚡ RAW_VMs" sheetId="3" state="visible" r:id="rId3"/>
    <sheet xmlns:r="http://schemas.openxmlformats.org/officeDocument/2006/relationships" name="📊 Capacity_Hosts" sheetId="4" state="visible" r:id="rId4"/>
    <sheet xmlns:r="http://schemas.openxmlformats.org/officeDocument/2006/relationships" name="💽 Capacity_Storage" sheetId="5" state="visible" r:id="rId5"/>
    <sheet xmlns:r="http://schemas.openxmlformats.org/officeDocument/2006/relationships" name="🧪 Simulation" sheetId="6" state="visible" r:id="rId6"/>
    <sheet xmlns:r="http://schemas.openxmlformats.org/officeDocument/2006/relationships" name="🔮 Projections" sheetId="7" state="visible" r:id="rId7"/>
    <sheet xmlns:r="http://schemas.openxmlformats.org/officeDocument/2006/relationships" name="📈 Dashboard" sheetId="8" state="visible" r:id="rId8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1B5E20"/>
      <sz val="10"/>
    </font>
    <font>
      <name val="Calibri"/>
      <b val="1"/>
      <color rgb="00F57F17"/>
      <sz val="10"/>
    </font>
    <font>
      <name val="Calibri"/>
      <i val="1"/>
      <color rgb="001565C0"/>
      <sz val="9"/>
    </font>
    <font>
      <name val="Calibri"/>
      <b val="1"/>
      <color rgb="00B71C1C"/>
      <sz val="10"/>
    </font>
    <font>
      <name val="Calibri"/>
      <b val="1"/>
      <color rgb="00607D8B"/>
      <sz val="10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b val="1"/>
      <color rgb="001B2A4A"/>
      <sz val="20"/>
    </font>
    <font>
      <name val="Calibri"/>
      <i val="1"/>
      <color rgb="00607D8B"/>
      <sz val="8"/>
    </font>
    <font>
      <name val="Calibri"/>
      <b val="1"/>
      <color rgb="0037474F"/>
      <sz val="9"/>
    </font>
    <font>
      <name val="Calibri"/>
      <i val="1"/>
      <color rgb="00006064"/>
      <sz val="9"/>
    </font>
    <font>
      <name val="Calibri"/>
      <b val="1"/>
      <color rgb="0037474F"/>
      <sz val="10"/>
    </font>
    <font>
      <name val="Calibri"/>
      <b val="1"/>
      <color rgb="00806000"/>
      <sz val="12"/>
    </font>
    <font>
      <name val="Calibri"/>
      <i val="1"/>
      <color rgb="00607D8B"/>
      <sz val="9"/>
    </font>
    <font>
      <name val="Calibri"/>
      <b val="1"/>
      <color rgb="001B2A4A"/>
      <sz val="9"/>
    </font>
    <font>
      <name val="Calibri"/>
      <b val="1"/>
      <color rgb="001B2A4A"/>
      <sz val="10"/>
    </font>
    <font>
      <name val="Calibri"/>
      <color rgb="00000000"/>
      <sz val="9"/>
    </font>
    <font>
      <name val="Calibri"/>
      <color rgb="00000000"/>
      <sz val="10"/>
    </font>
    <font>
      <name val="Calibri"/>
      <b val="1"/>
      <color rgb="000000FF"/>
      <sz val="11"/>
    </font>
    <font>
      <name val="Calibri"/>
      <b val="1"/>
      <color rgb="00000000"/>
      <sz val="9"/>
    </font>
    <font>
      <name val="Calibri"/>
      <b val="1"/>
      <color rgb="00FFFFFF"/>
      <sz val="24"/>
    </font>
    <font>
      <name val="Calibri"/>
      <i val="1"/>
      <color rgb="00607D8B"/>
      <sz val="10"/>
    </font>
    <font>
      <name val="Calibri"/>
      <b val="1"/>
      <color rgb="00000000"/>
      <sz val="10"/>
    </font>
    <font>
      <name val="Calibri"/>
      <b val="1"/>
      <color rgb="001B2A4A"/>
      <sz val="15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565C0"/>
      </patternFill>
    </fill>
    <fill>
      <patternFill patternType="solid">
        <fgColor rgb="00006064"/>
      </patternFill>
    </fill>
    <fill>
      <patternFill patternType="solid">
        <fgColor rgb="001B5E20"/>
      </patternFill>
    </fill>
    <fill>
      <patternFill patternType="solid">
        <fgColor rgb="00E3F2FD"/>
      </patternFill>
    </fill>
    <fill>
      <patternFill patternType="solid">
        <fgColor rgb="00F57F17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BF360C"/>
      </patternFill>
    </fill>
    <fill>
      <patternFill patternType="solid">
        <fgColor rgb="00FBE9E7"/>
      </patternFill>
    </fill>
  </fills>
  <borders count="8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F57F17"/>
      </left>
      <right style="thin">
        <color rgb="00F57F17"/>
      </right>
      <top style="thin">
        <color rgb="00F57F17"/>
      </top>
      <bottom style="thin">
        <color rgb="00F57F17"/>
      </bottom>
    </border>
    <border>
      <left/>
      <right/>
      <top style="thin">
        <color rgb="00BDBDBD"/>
      </top>
      <bottom style="thin">
        <color rgb="00BDBDBD"/>
      </bottom>
      <diagonal/>
    </border>
    <border>
      <left style="thin">
        <color rgb="001565C0"/>
      </left>
      <right style="thin">
        <color rgb="001565C0"/>
      </right>
      <top style="thin">
        <color rgb="001565C0"/>
      </top>
      <bottom style="thin">
        <color rgb="001565C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3" fontId="11" fillId="11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3" fontId="0" fillId="12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center" vertical="center"/>
    </xf>
    <xf numFmtId="3" fontId="0" fillId="13" borderId="1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0" fillId="12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10" fillId="14" borderId="0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3" fontId="16" fillId="8" borderId="5" applyAlignment="1" pivotButton="0" quotePrefix="0" xfId="0">
      <alignment horizontal="center" vertical="center"/>
    </xf>
    <xf numFmtId="0" fontId="17" fillId="13" borderId="1" applyAlignment="1" pivotButton="0" quotePrefix="0" xfId="0">
      <alignment horizontal="left" vertical="center"/>
    </xf>
    <xf numFmtId="0" fontId="0" fillId="0" borderId="6" pivotButton="0" quotePrefix="0" xfId="0"/>
    <xf numFmtId="164" fontId="16" fillId="8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/>
    </xf>
    <xf numFmtId="3" fontId="20" fillId="12" borderId="1" applyAlignment="1" pivotButton="0" quotePrefix="0" xfId="0">
      <alignment horizontal="center" vertical="center"/>
    </xf>
    <xf numFmtId="164" fontId="20" fillId="12" borderId="1" applyAlignment="1" pivotButton="0" quotePrefix="0" xfId="0">
      <alignment horizontal="center" vertical="center"/>
    </xf>
    <xf numFmtId="3" fontId="20" fillId="8" borderId="1" applyAlignment="1" pivotButton="0" quotePrefix="0" xfId="0">
      <alignment horizontal="center" vertical="center"/>
    </xf>
    <xf numFmtId="165" fontId="20" fillId="8" borderId="1" applyAlignment="1" pivotButton="0" quotePrefix="0" xfId="0">
      <alignment horizontal="center" vertical="center"/>
    </xf>
    <xf numFmtId="164" fontId="20" fillId="15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3" fontId="20" fillId="15" borderId="1" applyAlignment="1" pivotButton="0" quotePrefix="0" xfId="0">
      <alignment horizontal="center" vertical="center"/>
    </xf>
    <xf numFmtId="3" fontId="20" fillId="13" borderId="1" applyAlignment="1" pivotButton="0" quotePrefix="0" xfId="0">
      <alignment horizontal="center" vertical="center"/>
    </xf>
    <xf numFmtId="164" fontId="20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164" fontId="22" fillId="6" borderId="7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23" fillId="13" borderId="1" applyAlignment="1" pivotButton="0" quotePrefix="0" xfId="0">
      <alignment horizontal="left" vertical="center"/>
    </xf>
    <xf numFmtId="0" fontId="0" fillId="2" borderId="0" pivotButton="0" quotePrefix="0" xfId="0"/>
    <xf numFmtId="0" fontId="24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5" fillId="0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3" fontId="11" fillId="8" borderId="1" applyAlignment="1" pivotButton="0" quotePrefix="0" xfId="0">
      <alignment horizontal="center" vertical="center"/>
    </xf>
    <xf numFmtId="164" fontId="11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26" fillId="13" borderId="1" applyAlignment="1" pivotButton="0" quotePrefix="0" xfId="0">
      <alignment horizontal="left" vertical="center"/>
    </xf>
    <xf numFmtId="3" fontId="27" fillId="11" borderId="1" applyAlignment="1" pivotButton="0" quotePrefix="0" xfId="0">
      <alignment horizontal="center" vertical="center"/>
    </xf>
    <xf numFmtId="3" fontId="27" fillId="8" borderId="1" applyAlignment="1" pivotButton="0" quotePrefix="0" xfId="0">
      <alignment horizontal="center" vertical="center"/>
    </xf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Capacity_Hosts'!$A$12:$A$51</f>
            </numRef>
          </cat>
          <val>
            <numRef>
              <f>'📊 Capacity_Hosts'!$E$12:$E$51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Libre % par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Capacity_Hosts'!$A$12:$A$51</f>
            </numRef>
          </cat>
          <val>
            <numRef>
              <f>'📊 Capacity_Hosts'!$F$12:$F$51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Capacité / Libre / Utilisé par Cluster (GB)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Capacity_Storage'!$A$12:$A$41</f>
            </numRef>
          </cat>
          <val>
            <numRef>
              <f>'💽 Capacity_Storage'!$D$12:$D$41</f>
            </numRef>
          </val>
        </ser>
        <ser>
          <idx val="1"/>
          <order val="1"/>
          <tx>
            <strRef>
              <f>'💽 Capacity_Storage'!E11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Capacity_Storage'!$A$12:$A$41</f>
            </numRef>
          </cat>
          <val>
            <numRef>
              <f>'💽 Capacity_Storage'!$E$12:$E$41</f>
            </numRef>
          </val>
        </ser>
        <ser>
          <idx val="2"/>
          <order val="2"/>
          <tx>
            <strRef>
              <f>'💽 Capacity_Storage'!F11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Capacity_Storage'!$A$12:$A$41</f>
            </numRef>
          </cat>
          <val>
            <numRef>
              <f>'💽 Capacity_Storage'!$F$12:$F$41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Capacité par Cluster</a:t>
            </a:r>
          </a:p>
        </rich>
      </tx>
    </title>
    <plotArea>
      <pieChart>
        <varyColors val="1"/>
        <ser>
          <idx val="0"/>
          <order val="0"/>
          <tx>
            <strRef>
              <f>'💽 Capacity_Storage'!D11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Capacity_Storage'!$A$12:$A$41</f>
            </numRef>
          </cat>
          <val>
            <numRef>
              <f>'💽 Capacity_Storage'!$D$12:$D$41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Libre % : Actuel vs Après simulation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'🧪 Simulation'!F14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Simulation'!$A$15:$A$34</f>
            </numRef>
          </cat>
          <val>
            <numRef>
              <f>'🧪 Simulation'!$F$15:$F$34</f>
            </numRef>
          </val>
        </ser>
        <ser>
          <idx val="1"/>
          <order val="1"/>
          <tx>
            <strRef>
              <f>'🧪 Simulation'!R14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Simulation'!$A$15:$A$34</f>
            </numRef>
          </cat>
          <val>
            <numRef>
              <f>'🧪 Simulation'!$R$15:$R$34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Libre % : Actuel vs Après simulation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'🧪 Simulation'!I14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Simulation'!$A$15:$A$34</f>
            </numRef>
          </cat>
          <val>
            <numRef>
              <f>'🧪 Simulation'!$I$15:$I$34</f>
            </numRef>
          </val>
        </ser>
        <ser>
          <idx val="1"/>
          <order val="1"/>
          <tx>
            <strRef>
              <f>'🧪 Simulation'!T14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Simulation'!$A$15:$A$34</f>
            </numRef>
          </cat>
          <val>
            <numRef>
              <f>'🧪 Simulation'!$T$15:$T$34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Nb VMs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Libre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Projections'!$K$20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Projections'!$L$20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Projections'!$M$20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Libre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Projections'!$B$26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Projections'!$C$26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Projections'!$D$26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Projections'!$E$26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Projections'!$F$26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Projections'!$G$26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Projections'!$H$26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Projections'!$I$26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Projections'!$J$26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Projections'!$K$26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Projections'!$L$26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Projections'!$M$26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Libre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Projections'!$B$31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Projections'!$C$31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Projections'!$D$31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Projections'!$E$31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Projections'!$F$31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Projections'!$G$31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Projections'!$H$31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Projections'!$I$31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Projections'!$J$31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Projections'!$K$31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Projections'!$L$31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Projections'!$M$31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Capacity_Hosts'!$A$12:$A$51</f>
            </numRef>
          </cat>
          <val>
            <numRef>
              <f>'📊 Capacity_Hosts'!$E$12:$E$51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Usage % par Cluster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Capacity_Storage'!$A$12:$A$41</f>
            </numRef>
          </cat>
          <val>
            <numRef>
              <f>'💽 Capacity_Storage'!$G$12:$G$41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VMs par État</a:t>
            </a:r>
          </a:p>
        </rich>
      </tx>
    </title>
    <plotArea>
      <pieChart>
        <varyColors val="1"/>
        <ser>
          <idx val="0"/>
          <order val="0"/>
          <tx>
            <strRef>
              <f>'📈 Dashboard'!C45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Dashboard'!$B$46:$B$47</f>
            </numRef>
          </cat>
          <val>
            <numRef>
              <f>'📈 Dashboard'!$C$46:$C$47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VMs 12 mois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Projections'!$K$16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Projections'!$L$16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Projections'!$M$16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54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54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44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44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37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35</row>
      <rowOff>0</rowOff>
    </from>
    <ext cx="75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35</row>
      <rowOff>0</rowOff>
    </from>
    <ext cx="75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5835</row>
      <rowOff>0</rowOff>
    </from>
    <ext cx="75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5835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24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24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48</row>
      <rowOff>0</rowOff>
    </from>
    <ext cx="57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48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Hosts" displayName="tHosts" ref="A3:L13" headerRowCount="1">
  <autoFilter ref="A3:L13"/>
  <tableColumns count="12">
    <tableColumn id="1" name="Name"/>
    <tableColumn id="2" name="State"/>
    <tableColumn id="3" name="Status"/>
    <tableColumn id="4" name="ClusterDatacenter"/>
    <tableColumn id="5" name="Cluster"/>
    <tableColumn id="6" name="Consumed CPU %"/>
    <tableColumn id="7" name="Memory Size (MB)"/>
    <tableColumn id="8" name="CPUs"/>
    <tableColumn id="9" name="CPU Free %"/>
    <tableColumn id="10" name="CPU free cores"/>
    <tableColumn id="11" name="NICs"/>
    <tableColumn id="12" name="R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astores" displayName="tDatastores" ref="A3:I13" headerRowCount="1">
  <autoFilter ref="A3:I13"/>
  <tableColumns count="9">
    <tableColumn id="1" name="Name"/>
    <tableColumn id="2" name="Cluster"/>
    <tableColumn id="3" name="Status"/>
    <tableColumn id="4" name="Type"/>
    <tableColumn id="5" name="Datastore cluster"/>
    <tableColumn id="6" name="Capacity TB"/>
    <tableColumn id="7" name="Capacity"/>
    <tableColumn id="8" name="Free"/>
    <tableColumn id="9" name="FreeSiz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VMs" displayName="tVMs" ref="A3:L20" headerRowCount="1">
  <autoFilter ref="A3:L20"/>
  <tableColumns count="12">
    <tableColumn id="1" name="Name"/>
    <tableColumn id="2" name="State"/>
    <tableColumn id="3" name="Status"/>
    <tableColumn id="4" name="Host"/>
    <tableColumn id="5" name="ClusterDatacenter"/>
    <tableColumn id="6" name="Cluster"/>
    <tableColumn id="7" name="Provisioned Space"/>
    <tableColumn id="8" name="Used Space"/>
    <tableColumn id="9" name="Host CPU"/>
    <tableColumn id="10" name="Host Mem"/>
    <tableColumn id="11" name="Active Memory"/>
    <tableColumn id="12" name="CP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0" customWidth="1" min="5" max="5"/>
    <col width="16" customWidth="1" min="6" max="6"/>
    <col width="17" customWidth="1" min="7" max="7"/>
    <col width="8" customWidth="1" min="8" max="8"/>
    <col width="13" customWidth="1" min="9" max="9"/>
    <col width="14" customWidth="1" min="10" max="10"/>
    <col width="7" customWidth="1" min="11" max="11"/>
    <col width="16" customWidth="1" min="12" max="12"/>
  </cols>
  <sheetData>
    <row r="1" ht="48" customHeight="1">
      <c r="A1" s="1" t="inlineStr">
        <is>
          <t>🖥️  HOSTS ESXi – Export vCenter 8</t>
        </is>
      </c>
    </row>
    <row r="2" ht="14" customHeight="1">
      <c r="A2" s="2" t="inlineStr">
        <is>
          <t>⚠️  Coller vos données à partir de A4  |  % doivent être des DÉCIMAUX (0.45 = 45%)  |  Tableau extensible sans limite</t>
        </is>
      </c>
    </row>
    <row r="3" ht="26" customHeight="1">
      <c r="A3" s="3" t="inlineStr">
        <is>
          <t>Name</t>
        </is>
      </c>
      <c r="B3" s="3" t="inlineStr">
        <is>
          <t>State</t>
        </is>
      </c>
      <c r="C3" s="3" t="inlineStr">
        <is>
          <t>Status</t>
        </is>
      </c>
      <c r="D3" s="3" t="inlineStr">
        <is>
          <t>ClusterDatacenter</t>
        </is>
      </c>
      <c r="E3" s="3" t="inlineStr">
        <is>
          <t>Cluster</t>
        </is>
      </c>
      <c r="F3" s="3" t="inlineStr">
        <is>
          <t>Consumed CPU %</t>
        </is>
      </c>
      <c r="G3" s="3" t="inlineStr">
        <is>
          <t>Memory Size (MB)</t>
        </is>
      </c>
      <c r="H3" s="3" t="inlineStr">
        <is>
          <t>CPUs</t>
        </is>
      </c>
      <c r="I3" s="3" t="inlineStr">
        <is>
          <t>CPU Free %</t>
        </is>
      </c>
      <c r="J3" s="3" t="inlineStr">
        <is>
          <t>CPU free cores</t>
        </is>
      </c>
      <c r="K3" s="3" t="inlineStr">
        <is>
          <t>NICs</t>
        </is>
      </c>
      <c r="L3" s="3" t="inlineStr">
        <is>
          <t>RAM</t>
        </is>
      </c>
    </row>
    <row r="4" ht="18" customHeight="1">
      <c r="A4" s="4" t="inlineStr">
        <is>
          <t>esxi-prod-01</t>
        </is>
      </c>
      <c r="B4" s="5" t="inlineStr">
        <is>
          <t>connected</t>
        </is>
      </c>
      <c r="C4" s="5" t="inlineStr">
        <is>
          <t>green</t>
        </is>
      </c>
      <c r="D4" s="4" t="inlineStr">
        <is>
          <t>DC-Paris</t>
        </is>
      </c>
      <c r="E4" s="4" t="inlineStr">
        <is>
          <t>PROD-Cluster-01</t>
        </is>
      </c>
      <c r="F4" s="6" t="n">
        <v>0.23</v>
      </c>
      <c r="G4" s="7" t="n">
        <v>393216</v>
      </c>
      <c r="H4" s="4" t="n">
        <v>40</v>
      </c>
      <c r="I4" s="6" t="n">
        <v>0.77</v>
      </c>
      <c r="J4" s="7" t="n">
        <v>31</v>
      </c>
      <c r="K4" s="4" t="n">
        <v>4</v>
      </c>
      <c r="L4" s="7" t="n">
        <v>91136</v>
      </c>
    </row>
    <row r="5" ht="18" customHeight="1">
      <c r="A5" s="4" t="inlineStr">
        <is>
          <t>esxi-prod-02</t>
        </is>
      </c>
      <c r="B5" s="5" t="inlineStr">
        <is>
          <t>connected</t>
        </is>
      </c>
      <c r="C5" s="5" t="inlineStr">
        <is>
          <t>green</t>
        </is>
      </c>
      <c r="D5" s="4" t="inlineStr">
        <is>
          <t>DC-Paris</t>
        </is>
      </c>
      <c r="E5" s="4" t="inlineStr">
        <is>
          <t>PROD-Cluster-01</t>
        </is>
      </c>
      <c r="F5" s="6" t="n">
        <v>0.55</v>
      </c>
      <c r="G5" s="7" t="n">
        <v>393216</v>
      </c>
      <c r="H5" s="4" t="n">
        <v>40</v>
      </c>
      <c r="I5" s="6" t="n">
        <v>0.45</v>
      </c>
      <c r="J5" s="7" t="n">
        <v>18</v>
      </c>
      <c r="K5" s="4" t="n">
        <v>4</v>
      </c>
      <c r="L5" s="7" t="n">
        <v>245760</v>
      </c>
    </row>
    <row r="6" ht="18" customHeight="1">
      <c r="A6" s="4" t="inlineStr">
        <is>
          <t>esxi-prod-03</t>
        </is>
      </c>
      <c r="B6" s="5" t="inlineStr">
        <is>
          <t>connected</t>
        </is>
      </c>
      <c r="C6" s="5" t="inlineStr">
        <is>
          <t>green</t>
        </is>
      </c>
      <c r="D6" s="4" t="inlineStr">
        <is>
          <t>DC-Paris</t>
        </is>
      </c>
      <c r="E6" s="4" t="inlineStr">
        <is>
          <t>PROD-Cluster-01</t>
        </is>
      </c>
      <c r="F6" s="6" t="n">
        <v>0.39</v>
      </c>
      <c r="G6" s="7" t="n">
        <v>393216</v>
      </c>
      <c r="H6" s="4" t="n">
        <v>40</v>
      </c>
      <c r="I6" s="6" t="n">
        <v>0.61</v>
      </c>
      <c r="J6" s="7" t="n">
        <v>24</v>
      </c>
      <c r="K6" s="4" t="n">
        <v>4</v>
      </c>
      <c r="L6" s="7" t="n">
        <v>180000</v>
      </c>
    </row>
    <row r="7" ht="18" customHeight="1">
      <c r="A7" s="4" t="inlineStr">
        <is>
          <t>esxi-prod-04</t>
        </is>
      </c>
      <c r="B7" s="5" t="inlineStr">
        <is>
          <t>connected</t>
        </is>
      </c>
      <c r="C7" s="5" t="inlineStr">
        <is>
          <t>green</t>
        </is>
      </c>
      <c r="D7" s="4" t="inlineStr">
        <is>
          <t>DC-Paris</t>
        </is>
      </c>
      <c r="E7" s="4" t="inlineStr">
        <is>
          <t>PROD-Cluster-02</t>
        </is>
      </c>
      <c r="F7" s="6" t="n">
        <v>0.68</v>
      </c>
      <c r="G7" s="7" t="n">
        <v>262144</v>
      </c>
      <c r="H7" s="4" t="n">
        <v>32</v>
      </c>
      <c r="I7" s="6" t="n">
        <v>0.32</v>
      </c>
      <c r="J7" s="7" t="n">
        <v>10</v>
      </c>
      <c r="K7" s="4" t="n">
        <v>4</v>
      </c>
      <c r="L7" s="7" t="n">
        <v>220000</v>
      </c>
    </row>
    <row r="8" ht="18" customHeight="1">
      <c r="A8" s="4" t="inlineStr">
        <is>
          <t>esxi-prod-05</t>
        </is>
      </c>
      <c r="B8" s="5" t="inlineStr">
        <is>
          <t>connected</t>
        </is>
      </c>
      <c r="C8" s="8" t="inlineStr">
        <is>
          <t>yellow</t>
        </is>
      </c>
      <c r="D8" s="4" t="inlineStr">
        <is>
          <t>DC-Paris</t>
        </is>
      </c>
      <c r="E8" s="4" t="inlineStr">
        <is>
          <t>PROD-Cluster-02</t>
        </is>
      </c>
      <c r="F8" s="6" t="n">
        <v>0.8100000000000001</v>
      </c>
      <c r="G8" s="7" t="n">
        <v>262144</v>
      </c>
      <c r="H8" s="4" t="n">
        <v>32</v>
      </c>
      <c r="I8" s="6" t="n">
        <v>0.19</v>
      </c>
      <c r="J8" s="7" t="n">
        <v>6</v>
      </c>
      <c r="K8" s="4" t="n">
        <v>4</v>
      </c>
      <c r="L8" s="7" t="n">
        <v>240000</v>
      </c>
    </row>
    <row r="9" ht="18" customHeight="1">
      <c r="A9" s="4" t="inlineStr">
        <is>
          <t>esxi-prod-06</t>
        </is>
      </c>
      <c r="B9" s="5" t="inlineStr">
        <is>
          <t>connected</t>
        </is>
      </c>
      <c r="C9" s="5" t="inlineStr">
        <is>
          <t>green</t>
        </is>
      </c>
      <c r="D9" s="4" t="inlineStr">
        <is>
          <t>DC-Paris</t>
        </is>
      </c>
      <c r="E9" s="4" t="inlineStr">
        <is>
          <t>PROD-Cluster-02</t>
        </is>
      </c>
      <c r="F9" s="6" t="n">
        <v>0.74</v>
      </c>
      <c r="G9" s="7" t="n">
        <v>262144</v>
      </c>
      <c r="H9" s="4" t="n">
        <v>32</v>
      </c>
      <c r="I9" s="6" t="n">
        <v>0.26</v>
      </c>
      <c r="J9" s="7" t="n">
        <v>8</v>
      </c>
      <c r="K9" s="4" t="n">
        <v>4</v>
      </c>
      <c r="L9" s="7" t="n">
        <v>210000</v>
      </c>
    </row>
    <row r="10" ht="18" customHeight="1">
      <c r="A10" s="4" t="inlineStr">
        <is>
          <t>esxi-dev-01</t>
        </is>
      </c>
      <c r="B10" s="5" t="inlineStr">
        <is>
          <t>connected</t>
        </is>
      </c>
      <c r="C10" s="5" t="inlineStr">
        <is>
          <t>green</t>
        </is>
      </c>
      <c r="D10" s="4" t="inlineStr">
        <is>
          <t>DC-Nantes</t>
        </is>
      </c>
      <c r="E10" s="4" t="inlineStr">
        <is>
          <t>DEV-Cluster-01</t>
        </is>
      </c>
      <c r="F10" s="6" t="n">
        <v>0.18</v>
      </c>
      <c r="G10" s="7" t="n">
        <v>196608</v>
      </c>
      <c r="H10" s="4" t="n">
        <v>24</v>
      </c>
      <c r="I10" s="6" t="n">
        <v>0.82</v>
      </c>
      <c r="J10" s="7" t="n">
        <v>20</v>
      </c>
      <c r="K10" s="4" t="n">
        <v>2</v>
      </c>
      <c r="L10" s="7" t="n">
        <v>45000</v>
      </c>
    </row>
    <row r="11" ht="18" customHeight="1">
      <c r="A11" s="4" t="inlineStr">
        <is>
          <t>esxi-dev-02</t>
        </is>
      </c>
      <c r="B11" s="5" t="inlineStr">
        <is>
          <t>connected</t>
        </is>
      </c>
      <c r="C11" s="5" t="inlineStr">
        <is>
          <t>green</t>
        </is>
      </c>
      <c r="D11" s="4" t="inlineStr">
        <is>
          <t>DC-Nantes</t>
        </is>
      </c>
      <c r="E11" s="4" t="inlineStr">
        <is>
          <t>DEV-Cluster-01</t>
        </is>
      </c>
      <c r="F11" s="6" t="n">
        <v>0.12</v>
      </c>
      <c r="G11" s="7" t="n">
        <v>196608</v>
      </c>
      <c r="H11" s="4" t="n">
        <v>24</v>
      </c>
      <c r="I11" s="6" t="n">
        <v>0.88</v>
      </c>
      <c r="J11" s="7" t="n">
        <v>21</v>
      </c>
      <c r="K11" s="4" t="n">
        <v>2</v>
      </c>
      <c r="L11" s="7" t="n">
        <v>35000</v>
      </c>
    </row>
    <row r="12" ht="18" customHeight="1">
      <c r="A12" s="4" t="inlineStr">
        <is>
          <t>esxi-dev-03</t>
        </is>
      </c>
      <c r="B12" s="5" t="inlineStr">
        <is>
          <t>connected</t>
        </is>
      </c>
      <c r="C12" s="5" t="inlineStr">
        <is>
          <t>green</t>
        </is>
      </c>
      <c r="D12" s="4" t="inlineStr">
        <is>
          <t>DC-Nantes</t>
        </is>
      </c>
      <c r="E12" s="4" t="inlineStr">
        <is>
          <t>DEV-Cluster-01</t>
        </is>
      </c>
      <c r="F12" s="6" t="n">
        <v>0.09</v>
      </c>
      <c r="G12" s="7" t="n">
        <v>196608</v>
      </c>
      <c r="H12" s="4" t="n">
        <v>24</v>
      </c>
      <c r="I12" s="6" t="n">
        <v>0.91</v>
      </c>
      <c r="J12" s="7" t="n">
        <v>22</v>
      </c>
      <c r="K12" s="4" t="n">
        <v>2</v>
      </c>
      <c r="L12" s="7" t="n">
        <v>28000</v>
      </c>
    </row>
    <row r="13" ht="18" customHeight="1">
      <c r="A13" s="4" t="inlineStr">
        <is>
          <t>esxi-dr-01</t>
        </is>
      </c>
      <c r="B13" s="5" t="inlineStr">
        <is>
          <t>connected</t>
        </is>
      </c>
      <c r="C13" s="5" t="inlineStr">
        <is>
          <t>green</t>
        </is>
      </c>
      <c r="D13" s="4" t="inlineStr">
        <is>
          <t>DC-Lyon</t>
        </is>
      </c>
      <c r="E13" s="4" t="inlineStr">
        <is>
          <t>DR-Cluster-01</t>
        </is>
      </c>
      <c r="F13" s="6" t="n">
        <v>0.05</v>
      </c>
      <c r="G13" s="7" t="n">
        <v>524288</v>
      </c>
      <c r="H13" s="4" t="n">
        <v>48</v>
      </c>
      <c r="I13" s="6" t="n">
        <v>0.95</v>
      </c>
      <c r="J13" s="7" t="n">
        <v>46</v>
      </c>
      <c r="K13" s="4" t="n">
        <v>4</v>
      </c>
      <c r="L13" s="7" t="n">
        <v>30000</v>
      </c>
    </row>
    <row r="15">
      <c r="A15" s="9" t="inlineStr">
        <is>
          <t>💡  Tab sur la dernière cellule pour ajouter une ligne. CPU Free % et Consumed CPU % = nombres décimaux (0.30 = 30%).</t>
        </is>
      </c>
    </row>
  </sheetData>
  <mergeCells count="3">
    <mergeCell ref="A2:L2"/>
    <mergeCell ref="A15:L15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06064"/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10" customWidth="1" min="4" max="4"/>
    <col width="22" customWidth="1" min="5" max="5"/>
    <col width="13" customWidth="1" min="6" max="6"/>
    <col width="14" customWidth="1" min="7" max="7"/>
    <col width="14" customWidth="1" min="8" max="8"/>
    <col width="12" customWidth="1" min="9" max="9"/>
  </cols>
  <sheetData>
    <row r="1" ht="48" customHeight="1">
      <c r="A1" s="1" t="inlineStr">
        <is>
          <t>💾  DATASTORES – Export vCenter 8</t>
        </is>
      </c>
    </row>
    <row r="2" ht="14" customHeight="1">
      <c r="A2" s="2" t="inlineStr">
        <is>
          <t>⚠️  Coller à partir de A4  |  Capacity et Free en GB (nombres)</t>
        </is>
      </c>
    </row>
    <row r="3" ht="26" customHeight="1">
      <c r="A3" s="10" t="inlineStr">
        <is>
          <t>Name</t>
        </is>
      </c>
      <c r="B3" s="10" t="inlineStr">
        <is>
          <t>Cluster</t>
        </is>
      </c>
      <c r="C3" s="10" t="inlineStr">
        <is>
          <t>Status</t>
        </is>
      </c>
      <c r="D3" s="10" t="inlineStr">
        <is>
          <t>Type</t>
        </is>
      </c>
      <c r="E3" s="10" t="inlineStr">
        <is>
          <t>Datastore cluster</t>
        </is>
      </c>
      <c r="F3" s="10" t="inlineStr">
        <is>
          <t>Capacity TB</t>
        </is>
      </c>
      <c r="G3" s="10" t="inlineStr">
        <is>
          <t>Capacity</t>
        </is>
      </c>
      <c r="H3" s="10" t="inlineStr">
        <is>
          <t>Free</t>
        </is>
      </c>
      <c r="I3" s="10" t="inlineStr">
        <is>
          <t>FreeSize</t>
        </is>
      </c>
    </row>
    <row r="4" ht="18" customHeight="1">
      <c r="A4" s="4" t="inlineStr">
        <is>
          <t>PROD-DS-SAN-01</t>
        </is>
      </c>
      <c r="B4" s="4" t="inlineStr">
        <is>
          <t>PROD-Cluster-01</t>
        </is>
      </c>
      <c r="C4" s="5" t="inlineStr">
        <is>
          <t>green</t>
        </is>
      </c>
      <c r="D4" s="4" t="inlineStr">
        <is>
          <t>VMFS</t>
        </is>
      </c>
      <c r="E4" s="4" t="inlineStr">
        <is>
          <t>PROD-DSC</t>
        </is>
      </c>
      <c r="F4" s="11" t="n">
        <v>10</v>
      </c>
      <c r="G4" s="7" t="n">
        <v>10240</v>
      </c>
      <c r="H4" s="7" t="n">
        <v>2800</v>
      </c>
      <c r="I4" s="11" t="n">
        <v>2.7</v>
      </c>
    </row>
    <row r="5" ht="18" customHeight="1">
      <c r="A5" s="4" t="inlineStr">
        <is>
          <t>PROD-DS-SAN-02</t>
        </is>
      </c>
      <c r="B5" s="4" t="inlineStr">
        <is>
          <t>PROD-Cluster-01</t>
        </is>
      </c>
      <c r="C5" s="8" t="inlineStr">
        <is>
          <t>yellow</t>
        </is>
      </c>
      <c r="D5" s="4" t="inlineStr">
        <is>
          <t>VMFS</t>
        </is>
      </c>
      <c r="E5" s="4" t="inlineStr">
        <is>
          <t>PROD-DSC</t>
        </is>
      </c>
      <c r="F5" s="11" t="n">
        <v>10</v>
      </c>
      <c r="G5" s="7" t="n">
        <v>10240</v>
      </c>
      <c r="H5" s="7" t="n">
        <v>1100</v>
      </c>
      <c r="I5" s="11" t="n">
        <v>1.1</v>
      </c>
    </row>
    <row r="6" ht="18" customHeight="1">
      <c r="A6" s="4" t="inlineStr">
        <is>
          <t>PROD-DS-NFS-01</t>
        </is>
      </c>
      <c r="B6" s="4" t="inlineStr">
        <is>
          <t>PROD-Cluster-01</t>
        </is>
      </c>
      <c r="C6" s="5" t="inlineStr">
        <is>
          <t>green</t>
        </is>
      </c>
      <c r="D6" s="4" t="inlineStr">
        <is>
          <t>NFS</t>
        </is>
      </c>
      <c r="E6" s="4" t="inlineStr"/>
      <c r="F6" s="11" t="n">
        <v>5</v>
      </c>
      <c r="G6" s="7" t="n">
        <v>5120</v>
      </c>
      <c r="H6" s="7" t="n">
        <v>1800</v>
      </c>
      <c r="I6" s="11" t="n">
        <v>1.8</v>
      </c>
    </row>
    <row r="7" ht="18" customHeight="1">
      <c r="A7" s="4" t="inlineStr">
        <is>
          <t>PROD-DS-SAN-03</t>
        </is>
      </c>
      <c r="B7" s="4" t="inlineStr">
        <is>
          <t>PROD-Cluster-02</t>
        </is>
      </c>
      <c r="C7" s="5" t="inlineStr">
        <is>
          <t>green</t>
        </is>
      </c>
      <c r="D7" s="4" t="inlineStr">
        <is>
          <t>VMFS</t>
        </is>
      </c>
      <c r="E7" s="4" t="inlineStr">
        <is>
          <t>PROD-DSC2</t>
        </is>
      </c>
      <c r="F7" s="11" t="n">
        <v>8</v>
      </c>
      <c r="G7" s="7" t="n">
        <v>8192</v>
      </c>
      <c r="H7" s="7" t="n">
        <v>3500</v>
      </c>
      <c r="I7" s="11" t="n">
        <v>3.4</v>
      </c>
    </row>
    <row r="8" ht="18" customHeight="1">
      <c r="A8" s="4" t="inlineStr">
        <is>
          <t>PROD-DS-SAN-04</t>
        </is>
      </c>
      <c r="B8" s="4" t="inlineStr">
        <is>
          <t>PROD-Cluster-02</t>
        </is>
      </c>
      <c r="C8" s="12" t="inlineStr">
        <is>
          <t>red</t>
        </is>
      </c>
      <c r="D8" s="4" t="inlineStr">
        <is>
          <t>VMFS</t>
        </is>
      </c>
      <c r="E8" s="4" t="inlineStr">
        <is>
          <t>PROD-DSC2</t>
        </is>
      </c>
      <c r="F8" s="11" t="n">
        <v>8</v>
      </c>
      <c r="G8" s="7" t="n">
        <v>8192</v>
      </c>
      <c r="H8" s="7" t="n">
        <v>400</v>
      </c>
      <c r="I8" s="11" t="n">
        <v>0.4</v>
      </c>
    </row>
    <row r="9" ht="18" customHeight="1">
      <c r="A9" s="4" t="inlineStr">
        <is>
          <t>PROD-DS-VSAN</t>
        </is>
      </c>
      <c r="B9" s="4" t="inlineStr">
        <is>
          <t>PROD-Cluster-02</t>
        </is>
      </c>
      <c r="C9" s="5" t="inlineStr">
        <is>
          <t>green</t>
        </is>
      </c>
      <c r="D9" s="4" t="inlineStr">
        <is>
          <t>vSAN</t>
        </is>
      </c>
      <c r="E9" s="4" t="inlineStr"/>
      <c r="F9" s="11" t="n">
        <v>15</v>
      </c>
      <c r="G9" s="7" t="n">
        <v>15360</v>
      </c>
      <c r="H9" s="7" t="n">
        <v>6000</v>
      </c>
      <c r="I9" s="11" t="n">
        <v>5.9</v>
      </c>
    </row>
    <row r="10" ht="18" customHeight="1">
      <c r="A10" s="4" t="inlineStr">
        <is>
          <t>DEV-DS-NFS</t>
        </is>
      </c>
      <c r="B10" s="4" t="inlineStr">
        <is>
          <t>DEV-Cluster-01</t>
        </is>
      </c>
      <c r="C10" s="5" t="inlineStr">
        <is>
          <t>green</t>
        </is>
      </c>
      <c r="D10" s="4" t="inlineStr">
        <is>
          <t>NFS</t>
        </is>
      </c>
      <c r="E10" s="4" t="inlineStr"/>
      <c r="F10" s="11" t="n">
        <v>4</v>
      </c>
      <c r="G10" s="7" t="n">
        <v>4096</v>
      </c>
      <c r="H10" s="7" t="n">
        <v>2100</v>
      </c>
      <c r="I10" s="11" t="n">
        <v>2</v>
      </c>
    </row>
    <row r="11" ht="18" customHeight="1">
      <c r="A11" s="4" t="inlineStr">
        <is>
          <t>DEV-DS-SAN</t>
        </is>
      </c>
      <c r="B11" s="4" t="inlineStr">
        <is>
          <t>DEV-Cluster-01</t>
        </is>
      </c>
      <c r="C11" s="5" t="inlineStr">
        <is>
          <t>green</t>
        </is>
      </c>
      <c r="D11" s="4" t="inlineStr">
        <is>
          <t>VMFS</t>
        </is>
      </c>
      <c r="E11" s="4" t="inlineStr"/>
      <c r="F11" s="11" t="n">
        <v>2</v>
      </c>
      <c r="G11" s="7" t="n">
        <v>2048</v>
      </c>
      <c r="H11" s="7" t="n">
        <v>800</v>
      </c>
      <c r="I11" s="11" t="n">
        <v>0.8</v>
      </c>
    </row>
    <row r="12" ht="18" customHeight="1">
      <c r="A12" s="4" t="inlineStr">
        <is>
          <t>ARCHIVE-DS</t>
        </is>
      </c>
      <c r="B12" s="4" t="inlineStr">
        <is>
          <t>DEV-Cluster-01</t>
        </is>
      </c>
      <c r="C12" s="5" t="inlineStr">
        <is>
          <t>green</t>
        </is>
      </c>
      <c r="D12" s="4" t="inlineStr">
        <is>
          <t>NFS</t>
        </is>
      </c>
      <c r="E12" s="4" t="inlineStr"/>
      <c r="F12" s="11" t="n">
        <v>20</v>
      </c>
      <c r="G12" s="7" t="n">
        <v>20480</v>
      </c>
      <c r="H12" s="7" t="n">
        <v>8000</v>
      </c>
      <c r="I12" s="11" t="n">
        <v>7.8</v>
      </c>
    </row>
    <row r="13" ht="18" customHeight="1">
      <c r="A13" s="4" t="inlineStr">
        <is>
          <t>DR-DS-SAN</t>
        </is>
      </c>
      <c r="B13" s="4" t="inlineStr">
        <is>
          <t>DR-Cluster-01</t>
        </is>
      </c>
      <c r="C13" s="5" t="inlineStr">
        <is>
          <t>green</t>
        </is>
      </c>
      <c r="D13" s="4" t="inlineStr">
        <is>
          <t>VMFS</t>
        </is>
      </c>
      <c r="E13" s="4" t="inlineStr">
        <is>
          <t>DR-DSC</t>
        </is>
      </c>
      <c r="F13" s="11" t="n">
        <v>12</v>
      </c>
      <c r="G13" s="7" t="n">
        <v>12288</v>
      </c>
      <c r="H13" s="7" t="n">
        <v>9000</v>
      </c>
      <c r="I13" s="11" t="n">
        <v>8.800000000000001</v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4" customWidth="1" min="4" max="4"/>
    <col width="22" customWidth="1" min="5" max="5"/>
    <col width="20" customWidth="1" min="6" max="6"/>
    <col width="18" customWidth="1" min="7" max="7"/>
    <col width="14" customWidth="1" min="8" max="8"/>
    <col width="12" customWidth="1" min="9" max="9"/>
    <col width="12" customWidth="1" min="10" max="10"/>
    <col width="14" customWidth="1" min="11" max="11"/>
    <col width="8" customWidth="1" min="12" max="12"/>
  </cols>
  <sheetData>
    <row r="1" ht="48" customHeight="1">
      <c r="A1" s="1" t="inlineStr">
        <is>
          <t>⚡  MACHINES VIRTUELLES – Export vCenter 8</t>
        </is>
      </c>
    </row>
    <row r="2" ht="14" customHeight="1">
      <c r="A2" s="2" t="inlineStr">
        <is>
          <t>⚠️  Coller à partir de A4  |  Prévu pour 2000+ VMs  |  Host CPU = décimal (0.18 = 18%)</t>
        </is>
      </c>
    </row>
    <row r="3" ht="26" customHeight="1">
      <c r="A3" s="13" t="inlineStr">
        <is>
          <t>Name</t>
        </is>
      </c>
      <c r="B3" s="13" t="inlineStr">
        <is>
          <t>State</t>
        </is>
      </c>
      <c r="C3" s="13" t="inlineStr">
        <is>
          <t>Status</t>
        </is>
      </c>
      <c r="D3" s="13" t="inlineStr">
        <is>
          <t>Host</t>
        </is>
      </c>
      <c r="E3" s="13" t="inlineStr">
        <is>
          <t>ClusterDatacenter</t>
        </is>
      </c>
      <c r="F3" s="13" t="inlineStr">
        <is>
          <t>Cluster</t>
        </is>
      </c>
      <c r="G3" s="13" t="inlineStr">
        <is>
          <t>Provisioned Space</t>
        </is>
      </c>
      <c r="H3" s="13" t="inlineStr">
        <is>
          <t>Used Space</t>
        </is>
      </c>
      <c r="I3" s="13" t="inlineStr">
        <is>
          <t>Host CPU</t>
        </is>
      </c>
      <c r="J3" s="13" t="inlineStr">
        <is>
          <t>Host Mem</t>
        </is>
      </c>
      <c r="K3" s="13" t="inlineStr">
        <is>
          <t>Active Memory</t>
        </is>
      </c>
      <c r="L3" s="13" t="inlineStr">
        <is>
          <t>CPUs</t>
        </is>
      </c>
    </row>
    <row r="4" ht="18" customHeight="1">
      <c r="A4" s="4" t="inlineStr">
        <is>
          <t>vm-web-prod-01</t>
        </is>
      </c>
      <c r="B4" s="5" t="inlineStr">
        <is>
          <t>poweredOn</t>
        </is>
      </c>
      <c r="C4" s="5" t="inlineStr">
        <is>
          <t>green</t>
        </is>
      </c>
      <c r="D4" s="4" t="inlineStr">
        <is>
          <t>esxi-prod-01</t>
        </is>
      </c>
      <c r="E4" s="4" t="inlineStr">
        <is>
          <t>DC-Paris</t>
        </is>
      </c>
      <c r="F4" s="4" t="inlineStr">
        <is>
          <t>PROD-Cluster-01</t>
        </is>
      </c>
      <c r="G4" s="7" t="n">
        <v>120</v>
      </c>
      <c r="H4" s="7" t="n">
        <v>85</v>
      </c>
      <c r="I4" s="6" t="n">
        <v>0.18</v>
      </c>
      <c r="J4" s="7" t="n">
        <v>91136</v>
      </c>
      <c r="K4" s="7" t="n">
        <v>65536</v>
      </c>
      <c r="L4" s="4" t="n">
        <v>4</v>
      </c>
    </row>
    <row r="5" ht="18" customHeight="1">
      <c r="A5" s="4" t="inlineStr">
        <is>
          <t>vm-db-prod-01</t>
        </is>
      </c>
      <c r="B5" s="5" t="inlineStr">
        <is>
          <t>poweredOn</t>
        </is>
      </c>
      <c r="C5" s="5" t="inlineStr">
        <is>
          <t>green</t>
        </is>
      </c>
      <c r="D5" s="4" t="inlineStr">
        <is>
          <t>esxi-prod-01</t>
        </is>
      </c>
      <c r="E5" s="4" t="inlineStr">
        <is>
          <t>DC-Paris</t>
        </is>
      </c>
      <c r="F5" s="4" t="inlineStr">
        <is>
          <t>PROD-Cluster-01</t>
        </is>
      </c>
      <c r="G5" s="7" t="n">
        <v>500</v>
      </c>
      <c r="H5" s="7" t="n">
        <v>420</v>
      </c>
      <c r="I5" s="6" t="n">
        <v>0.62</v>
      </c>
      <c r="J5" s="7" t="n">
        <v>393216</v>
      </c>
      <c r="K5" s="7" t="n">
        <v>280000</v>
      </c>
      <c r="L5" s="4" t="n">
        <v>8</v>
      </c>
    </row>
    <row r="6" ht="18" customHeight="1">
      <c r="A6" s="4" t="inlineStr">
        <is>
          <t>vm-app-prod-01</t>
        </is>
      </c>
      <c r="B6" s="5" t="inlineStr">
        <is>
          <t>poweredOn</t>
        </is>
      </c>
      <c r="C6" s="5" t="inlineStr">
        <is>
          <t>green</t>
        </is>
      </c>
      <c r="D6" s="4" t="inlineStr">
        <is>
          <t>esxi-prod-02</t>
        </is>
      </c>
      <c r="E6" s="4" t="inlineStr">
        <is>
          <t>DC-Paris</t>
        </is>
      </c>
      <c r="F6" s="4" t="inlineStr">
        <is>
          <t>PROD-Cluster-01</t>
        </is>
      </c>
      <c r="G6" s="7" t="n">
        <v>200</v>
      </c>
      <c r="H6" s="7" t="n">
        <v>150</v>
      </c>
      <c r="I6" s="6" t="n">
        <v>0.28</v>
      </c>
      <c r="J6" s="7" t="n">
        <v>245760</v>
      </c>
      <c r="K6" s="7" t="n">
        <v>131072</v>
      </c>
      <c r="L6" s="4" t="n">
        <v>4</v>
      </c>
    </row>
    <row r="7" ht="18" customHeight="1">
      <c r="A7" s="4" t="inlineStr">
        <is>
          <t>vm-app-prod-02</t>
        </is>
      </c>
      <c r="B7" s="5" t="inlineStr">
        <is>
          <t>poweredOn</t>
        </is>
      </c>
      <c r="C7" s="8" t="inlineStr">
        <is>
          <t>yellow</t>
        </is>
      </c>
      <c r="D7" s="4" t="inlineStr">
        <is>
          <t>esxi-prod-02</t>
        </is>
      </c>
      <c r="E7" s="4" t="inlineStr">
        <is>
          <t>DC-Paris</t>
        </is>
      </c>
      <c r="F7" s="4" t="inlineStr">
        <is>
          <t>PROD-Cluster-01</t>
        </is>
      </c>
      <c r="G7" s="7" t="n">
        <v>200</v>
      </c>
      <c r="H7" s="7" t="n">
        <v>160</v>
      </c>
      <c r="I7" s="6" t="n">
        <v>0.31</v>
      </c>
      <c r="J7" s="7" t="n">
        <v>245760</v>
      </c>
      <c r="K7" s="7" t="n">
        <v>131072</v>
      </c>
      <c r="L7" s="4" t="n">
        <v>4</v>
      </c>
    </row>
    <row r="8" ht="18" customHeight="1">
      <c r="A8" s="4" t="inlineStr">
        <is>
          <t>vm-api-prod-01</t>
        </is>
      </c>
      <c r="B8" s="5" t="inlineStr">
        <is>
          <t>poweredOn</t>
        </is>
      </c>
      <c r="C8" s="5" t="inlineStr">
        <is>
          <t>green</t>
        </is>
      </c>
      <c r="D8" s="4" t="inlineStr">
        <is>
          <t>esxi-prod-03</t>
        </is>
      </c>
      <c r="E8" s="4" t="inlineStr">
        <is>
          <t>DC-Paris</t>
        </is>
      </c>
      <c r="F8" s="4" t="inlineStr">
        <is>
          <t>PROD-Cluster-01</t>
        </is>
      </c>
      <c r="G8" s="7" t="n">
        <v>80</v>
      </c>
      <c r="H8" s="7" t="n">
        <v>55</v>
      </c>
      <c r="I8" s="6" t="n">
        <v>0.1</v>
      </c>
      <c r="J8" s="7" t="n">
        <v>180000</v>
      </c>
      <c r="K8" s="7" t="n">
        <v>65536</v>
      </c>
      <c r="L8" s="4" t="n">
        <v>2</v>
      </c>
    </row>
    <row r="9" ht="18" customHeight="1">
      <c r="A9" s="4" t="inlineStr">
        <is>
          <t>vm-db-prod-02</t>
        </is>
      </c>
      <c r="B9" s="5" t="inlineStr">
        <is>
          <t>poweredOn</t>
        </is>
      </c>
      <c r="C9" s="5" t="inlineStr">
        <is>
          <t>green</t>
        </is>
      </c>
      <c r="D9" s="4" t="inlineStr">
        <is>
          <t>esxi-prod-04</t>
        </is>
      </c>
      <c r="E9" s="4" t="inlineStr">
        <is>
          <t>DC-Paris</t>
        </is>
      </c>
      <c r="F9" s="4" t="inlineStr">
        <is>
          <t>PROD-Cluster-02</t>
        </is>
      </c>
      <c r="G9" s="7" t="n">
        <v>800</v>
      </c>
      <c r="H9" s="7" t="n">
        <v>650</v>
      </c>
      <c r="I9" s="6" t="n">
        <v>0.55</v>
      </c>
      <c r="J9" s="7" t="n">
        <v>262144</v>
      </c>
      <c r="K9" s="7" t="n">
        <v>196608</v>
      </c>
      <c r="L9" s="4" t="n">
        <v>8</v>
      </c>
    </row>
    <row r="10" ht="18" customHeight="1">
      <c r="A10" s="4" t="inlineStr">
        <is>
          <t>vm-erp-prod-01</t>
        </is>
      </c>
      <c r="B10" s="5" t="inlineStr">
        <is>
          <t>poweredOn</t>
        </is>
      </c>
      <c r="C10" s="5" t="inlineStr">
        <is>
          <t>green</t>
        </is>
      </c>
      <c r="D10" s="4" t="inlineStr">
        <is>
          <t>esxi-prod-04</t>
        </is>
      </c>
      <c r="E10" s="4" t="inlineStr">
        <is>
          <t>DC-Paris</t>
        </is>
      </c>
      <c r="F10" s="4" t="inlineStr">
        <is>
          <t>PROD-Cluster-02</t>
        </is>
      </c>
      <c r="G10" s="7" t="n">
        <v>600</v>
      </c>
      <c r="H10" s="7" t="n">
        <v>520</v>
      </c>
      <c r="I10" s="6" t="n">
        <v>0.45</v>
      </c>
      <c r="J10" s="7" t="n">
        <v>262144</v>
      </c>
      <c r="K10" s="7" t="n">
        <v>180000</v>
      </c>
      <c r="L10" s="4" t="n">
        <v>16</v>
      </c>
    </row>
    <row r="11" ht="18" customHeight="1">
      <c r="A11" s="4" t="inlineStr">
        <is>
          <t>vm-backup-01</t>
        </is>
      </c>
      <c r="B11" s="5" t="inlineStr">
        <is>
          <t>poweredOn</t>
        </is>
      </c>
      <c r="C11" s="5" t="inlineStr">
        <is>
          <t>green</t>
        </is>
      </c>
      <c r="D11" s="4" t="inlineStr">
        <is>
          <t>esxi-prod-05</t>
        </is>
      </c>
      <c r="E11" s="4" t="inlineStr">
        <is>
          <t>DC-Paris</t>
        </is>
      </c>
      <c r="F11" s="4" t="inlineStr">
        <is>
          <t>PROD-Cluster-02</t>
        </is>
      </c>
      <c r="G11" s="7" t="n">
        <v>2000</v>
      </c>
      <c r="H11" s="7" t="n">
        <v>1800</v>
      </c>
      <c r="I11" s="6" t="n">
        <v>0.08</v>
      </c>
      <c r="J11" s="7" t="n">
        <v>262144</v>
      </c>
      <c r="K11" s="7" t="n">
        <v>32768</v>
      </c>
      <c r="L11" s="4" t="n">
        <v>4</v>
      </c>
    </row>
    <row r="12" ht="18" customHeight="1">
      <c r="A12" s="4" t="inlineStr">
        <is>
          <t>vm-erp-prod-02</t>
        </is>
      </c>
      <c r="B12" s="5" t="inlineStr">
        <is>
          <t>poweredOn</t>
        </is>
      </c>
      <c r="C12" s="5" t="inlineStr">
        <is>
          <t>green</t>
        </is>
      </c>
      <c r="D12" s="4" t="inlineStr">
        <is>
          <t>esxi-prod-05</t>
        </is>
      </c>
      <c r="E12" s="4" t="inlineStr">
        <is>
          <t>DC-Paris</t>
        </is>
      </c>
      <c r="F12" s="4" t="inlineStr">
        <is>
          <t>PROD-Cluster-02</t>
        </is>
      </c>
      <c r="G12" s="7" t="n">
        <v>400</v>
      </c>
      <c r="H12" s="7" t="n">
        <v>350</v>
      </c>
      <c r="I12" s="6" t="n">
        <v>0.38</v>
      </c>
      <c r="J12" s="7" t="n">
        <v>262144</v>
      </c>
      <c r="K12" s="7" t="n">
        <v>150000</v>
      </c>
      <c r="L12" s="4" t="n">
        <v>8</v>
      </c>
    </row>
    <row r="13" ht="18" customHeight="1">
      <c r="A13" s="4" t="inlineStr">
        <is>
          <t>vm-middleware-01</t>
        </is>
      </c>
      <c r="B13" s="5" t="inlineStr">
        <is>
          <t>poweredOn</t>
        </is>
      </c>
      <c r="C13" s="5" t="inlineStr">
        <is>
          <t>green</t>
        </is>
      </c>
      <c r="D13" s="4" t="inlineStr">
        <is>
          <t>esxi-prod-06</t>
        </is>
      </c>
      <c r="E13" s="4" t="inlineStr">
        <is>
          <t>DC-Paris</t>
        </is>
      </c>
      <c r="F13" s="4" t="inlineStr">
        <is>
          <t>PROD-Cluster-02</t>
        </is>
      </c>
      <c r="G13" s="7" t="n">
        <v>180</v>
      </c>
      <c r="H13" s="7" t="n">
        <v>120</v>
      </c>
      <c r="I13" s="6" t="n">
        <v>0.22</v>
      </c>
      <c r="J13" s="7" t="n">
        <v>262144</v>
      </c>
      <c r="K13" s="7" t="n">
        <v>98304</v>
      </c>
      <c r="L13" s="4" t="n">
        <v>4</v>
      </c>
    </row>
    <row r="14" ht="18" customHeight="1">
      <c r="A14" s="4" t="inlineStr">
        <is>
          <t>vm-dev-01</t>
        </is>
      </c>
      <c r="B14" s="5" t="inlineStr">
        <is>
          <t>poweredOn</t>
        </is>
      </c>
      <c r="C14" s="5" t="inlineStr">
        <is>
          <t>green</t>
        </is>
      </c>
      <c r="D14" s="4" t="inlineStr">
        <is>
          <t>esxi-dev-01</t>
        </is>
      </c>
      <c r="E14" s="4" t="inlineStr">
        <is>
          <t>DC-Nantes</t>
        </is>
      </c>
      <c r="F14" s="4" t="inlineStr">
        <is>
          <t>DEV-Cluster-01</t>
        </is>
      </c>
      <c r="G14" s="7" t="n">
        <v>80</v>
      </c>
      <c r="H14" s="7" t="n">
        <v>40</v>
      </c>
      <c r="I14" s="6" t="n">
        <v>0.05</v>
      </c>
      <c r="J14" s="7" t="n">
        <v>45000</v>
      </c>
      <c r="K14" s="7" t="n">
        <v>16384</v>
      </c>
      <c r="L14" s="4" t="n">
        <v>2</v>
      </c>
    </row>
    <row r="15" ht="18" customHeight="1">
      <c r="A15" s="4" t="inlineStr">
        <is>
          <t>vm-dev-02</t>
        </is>
      </c>
      <c r="B15" s="14" t="inlineStr">
        <is>
          <t>poweredOff</t>
        </is>
      </c>
      <c r="C15" s="5" t="inlineStr">
        <is>
          <t>green</t>
        </is>
      </c>
      <c r="D15" s="4" t="inlineStr">
        <is>
          <t>esxi-dev-01</t>
        </is>
      </c>
      <c r="E15" s="4" t="inlineStr">
        <is>
          <t>DC-Nantes</t>
        </is>
      </c>
      <c r="F15" s="4" t="inlineStr">
        <is>
          <t>DEV-Cluster-01</t>
        </is>
      </c>
      <c r="G15" s="7" t="n">
        <v>120</v>
      </c>
      <c r="H15" s="7" t="n">
        <v>100</v>
      </c>
      <c r="I15" s="6" t="n">
        <v>0</v>
      </c>
      <c r="J15" s="7" t="n">
        <v>0</v>
      </c>
      <c r="K15" s="7" t="n">
        <v>0</v>
      </c>
      <c r="L15" s="4" t="n">
        <v>4</v>
      </c>
    </row>
    <row r="16" ht="18" customHeight="1">
      <c r="A16" s="4" t="inlineStr">
        <is>
          <t>vm-test-01</t>
        </is>
      </c>
      <c r="B16" s="5" t="inlineStr">
        <is>
          <t>poweredOn</t>
        </is>
      </c>
      <c r="C16" s="8" t="inlineStr">
        <is>
          <t>yellow</t>
        </is>
      </c>
      <c r="D16" s="4" t="inlineStr">
        <is>
          <t>esxi-dev-02</t>
        </is>
      </c>
      <c r="E16" s="4" t="inlineStr">
        <is>
          <t>DC-Nantes</t>
        </is>
      </c>
      <c r="F16" s="4" t="inlineStr">
        <is>
          <t>DEV-Cluster-01</t>
        </is>
      </c>
      <c r="G16" s="7" t="n">
        <v>60</v>
      </c>
      <c r="H16" s="7" t="n">
        <v>30</v>
      </c>
      <c r="I16" s="6" t="n">
        <v>0.03</v>
      </c>
      <c r="J16" s="7" t="n">
        <v>35000</v>
      </c>
      <c r="K16" s="7" t="n">
        <v>10000</v>
      </c>
      <c r="L16" s="4" t="n">
        <v>2</v>
      </c>
    </row>
    <row r="17" ht="18" customHeight="1">
      <c r="A17" s="4" t="inlineStr">
        <is>
          <t>vm-test-02</t>
        </is>
      </c>
      <c r="B17" s="14" t="inlineStr">
        <is>
          <t>poweredOff</t>
        </is>
      </c>
      <c r="C17" s="12" t="inlineStr">
        <is>
          <t>red</t>
        </is>
      </c>
      <c r="D17" s="4" t="inlineStr">
        <is>
          <t>esxi-dev-02</t>
        </is>
      </c>
      <c r="E17" s="4" t="inlineStr">
        <is>
          <t>DC-Nantes</t>
        </is>
      </c>
      <c r="F17" s="4" t="inlineStr">
        <is>
          <t>DEV-Cluster-01</t>
        </is>
      </c>
      <c r="G17" s="7" t="n">
        <v>60</v>
      </c>
      <c r="H17" s="7" t="n">
        <v>25</v>
      </c>
      <c r="I17" s="6" t="n">
        <v>0</v>
      </c>
      <c r="J17" s="7" t="n">
        <v>0</v>
      </c>
      <c r="K17" s="7" t="n">
        <v>0</v>
      </c>
      <c r="L17" s="4" t="n">
        <v>2</v>
      </c>
    </row>
    <row r="18" ht="18" customHeight="1">
      <c r="A18" s="4" t="inlineStr">
        <is>
          <t>vm-ci-01</t>
        </is>
      </c>
      <c r="B18" s="5" t="inlineStr">
        <is>
          <t>poweredOn</t>
        </is>
      </c>
      <c r="C18" s="5" t="inlineStr">
        <is>
          <t>green</t>
        </is>
      </c>
      <c r="D18" s="4" t="inlineStr">
        <is>
          <t>esxi-dev-03</t>
        </is>
      </c>
      <c r="E18" s="4" t="inlineStr">
        <is>
          <t>DC-Nantes</t>
        </is>
      </c>
      <c r="F18" s="4" t="inlineStr">
        <is>
          <t>DEV-Cluster-01</t>
        </is>
      </c>
      <c r="G18" s="7" t="n">
        <v>200</v>
      </c>
      <c r="H18" s="7" t="n">
        <v>150</v>
      </c>
      <c r="I18" s="6" t="n">
        <v>0.15</v>
      </c>
      <c r="J18" s="7" t="n">
        <v>28000</v>
      </c>
      <c r="K18" s="7" t="n">
        <v>20000</v>
      </c>
      <c r="L18" s="4" t="n">
        <v>4</v>
      </c>
    </row>
    <row r="19" ht="18" customHeight="1">
      <c r="A19" s="4" t="inlineStr">
        <is>
          <t>vm-dr-01</t>
        </is>
      </c>
      <c r="B19" s="14" t="inlineStr">
        <is>
          <t>poweredOff</t>
        </is>
      </c>
      <c r="C19" s="5" t="inlineStr">
        <is>
          <t>green</t>
        </is>
      </c>
      <c r="D19" s="4" t="inlineStr">
        <is>
          <t>esxi-dr-01</t>
        </is>
      </c>
      <c r="E19" s="4" t="inlineStr">
        <is>
          <t>DC-Lyon</t>
        </is>
      </c>
      <c r="F19" s="4" t="inlineStr">
        <is>
          <t>DR-Cluster-01</t>
        </is>
      </c>
      <c r="G19" s="7" t="n">
        <v>500</v>
      </c>
      <c r="H19" s="7" t="n">
        <v>480</v>
      </c>
      <c r="I19" s="6" t="n">
        <v>0</v>
      </c>
      <c r="J19" s="7" t="n">
        <v>0</v>
      </c>
      <c r="K19" s="7" t="n">
        <v>0</v>
      </c>
      <c r="L19" s="4" t="n">
        <v>8</v>
      </c>
    </row>
    <row r="20" ht="18" customHeight="1">
      <c r="A20" s="4" t="inlineStr">
        <is>
          <t>vm-dr-02</t>
        </is>
      </c>
      <c r="B20" s="14" t="inlineStr">
        <is>
          <t>poweredOff</t>
        </is>
      </c>
      <c r="C20" s="5" t="inlineStr">
        <is>
          <t>green</t>
        </is>
      </c>
      <c r="D20" s="4" t="inlineStr">
        <is>
          <t>esxi-dr-01</t>
        </is>
      </c>
      <c r="E20" s="4" t="inlineStr">
        <is>
          <t>DC-Lyon</t>
        </is>
      </c>
      <c r="F20" s="4" t="inlineStr">
        <is>
          <t>DR-Cluster-01</t>
        </is>
      </c>
      <c r="G20" s="7" t="n">
        <v>300</v>
      </c>
      <c r="H20" s="7" t="n">
        <v>280</v>
      </c>
      <c r="I20" s="6" t="n">
        <v>0</v>
      </c>
      <c r="J20" s="7" t="n">
        <v>0</v>
      </c>
      <c r="K20" s="7" t="n">
        <v>0</v>
      </c>
      <c r="L20" s="4" t="n">
        <v>4</v>
      </c>
    </row>
    <row r="22">
      <c r="A22" s="15" t="inlineStr">
        <is>
          <t>💡  Tableau prévu pour 2000+ VMs. Host CPU = décimal (0.18 = 18%).</t>
        </is>
      </c>
    </row>
  </sheetData>
  <mergeCells count="3">
    <mergeCell ref="A2:L2"/>
    <mergeCell ref="A22:L2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R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48" customHeight="1">
      <c r="A1" s="1" t="inlineStr">
        <is>
          <t>📊  ANALYSE CAPACITÉ – COMPUTE (CPU &amp; RAM)</t>
        </is>
      </c>
    </row>
    <row r="2" ht="14" customHeight="1">
      <c r="A2" s="2" t="inlineStr">
        <is>
          <t>✅  100% automatique — alimenté depuis tHosts via formules | Pas de saisie requise | Recalcul instantané à l'ouverture</t>
        </is>
      </c>
    </row>
    <row r="4" ht="20" customHeight="1">
      <c r="A4" s="16" t="inlineStr">
        <is>
          <t xml:space="preserve">  📊  INDICATEURS GLOBAUX COMPUTE</t>
        </is>
      </c>
    </row>
    <row r="5" ht="18" customHeight="1">
      <c r="A5" s="17" t="inlineStr">
        <is>
          <t>Hosts connectés</t>
        </is>
      </c>
      <c r="B5" s="18" t="n"/>
      <c r="D5" s="17" t="inlineStr">
        <is>
          <t>Total CPUs</t>
        </is>
      </c>
      <c r="E5" s="18" t="n"/>
      <c r="G5" s="19" t="inlineStr">
        <is>
          <t>CPU cons. moy.</t>
        </is>
      </c>
      <c r="H5" s="18" t="n"/>
      <c r="J5" s="20" t="inlineStr">
        <is>
          <t>CPU libre moy.</t>
        </is>
      </c>
      <c r="K5" s="18" t="n"/>
      <c r="M5" s="17" t="inlineStr">
        <is>
          <t>RAM Totale</t>
        </is>
      </c>
      <c r="N5" s="18" t="n"/>
      <c r="P5" s="21" t="inlineStr">
        <is>
          <t>Hosts alertes</t>
        </is>
      </c>
      <c r="Q5" s="18" t="n"/>
    </row>
    <row r="6" ht="40" customHeight="1">
      <c r="A6" s="22">
        <f>COUNTIF(tHosts[State],"connected")</f>
        <v/>
      </c>
      <c r="B6" s="18" t="n"/>
      <c r="D6" s="22">
        <f>SUMIF(tHosts[State],"connected",tHosts[CPUs])</f>
        <v/>
      </c>
      <c r="E6" s="18" t="n"/>
      <c r="G6" s="23">
        <f>IFERROR(AVERAGEIF(tHosts[State],"connected",tHosts[Consumed CPU %]),0)</f>
        <v/>
      </c>
      <c r="H6" s="18" t="n"/>
      <c r="J6" s="24">
        <f>IFERROR(AVERAGEIF(tHosts[State],"connected",tHosts[CPU Free %]),0)</f>
        <v/>
      </c>
      <c r="K6" s="18" t="n"/>
      <c r="M6" s="22">
        <f>IFERROR(ROUND(SUMIF(tHosts[State],"connected",tHosts[Memory Size (MB)])/1024,0),0)</f>
        <v/>
      </c>
      <c r="N6" s="18" t="n"/>
      <c r="P6" s="25">
        <f>COUNTIF(tHosts[Status],"yellow")+COUNTIF(tHosts[Status],"red")</f>
        <v/>
      </c>
      <c r="Q6" s="18" t="n"/>
    </row>
    <row r="7" ht="14" customHeight="1">
      <c r="A7" s="26" t="inlineStr">
        <is>
          <t>actifs</t>
        </is>
      </c>
      <c r="B7" s="18" t="n"/>
      <c r="D7" s="26" t="inlineStr">
        <is>
          <t>logiques</t>
        </is>
      </c>
      <c r="E7" s="18" t="n"/>
      <c r="G7" s="27" t="inlineStr">
        <is>
          <t>moy. connected</t>
        </is>
      </c>
      <c r="H7" s="18" t="n"/>
      <c r="J7" s="28" t="inlineStr">
        <is>
          <t>moy. connected</t>
        </is>
      </c>
      <c r="K7" s="18" t="n"/>
      <c r="M7" s="26" t="inlineStr">
        <is>
          <t>GB total</t>
        </is>
      </c>
      <c r="N7" s="18" t="n"/>
      <c r="P7" s="29" t="inlineStr">
        <is>
          <t>⚠️/🔴</t>
        </is>
      </c>
      <c r="Q7" s="18" t="n"/>
    </row>
    <row r="9" ht="20" customHeight="1">
      <c r="A9" s="30" t="inlineStr">
        <is>
          <t xml:space="preserve">  📋  RÉSUMÉ PAR CLUSTER  — Automatique (clusters extraits de tHosts)</t>
        </is>
      </c>
    </row>
    <row r="10">
      <c r="A10" s="9" t="inlineStr">
        <is>
          <t>✅  Les clusters sont extraits automatiquement de vos données RAW. Aucune saisie requise. Les lignes vides disparaissent une fois vos données collées.</t>
        </is>
      </c>
    </row>
    <row r="11" ht="24" customHeight="1">
      <c r="A11" s="3" t="inlineStr">
        <is>
          <t>Cluster</t>
        </is>
      </c>
      <c r="B11" s="3" t="inlineStr">
        <is>
          <t>Datacenter</t>
        </is>
      </c>
      <c r="C11" s="3" t="inlineStr">
        <is>
          <t>Hosts</t>
        </is>
      </c>
      <c r="D11" s="3" t="inlineStr">
        <is>
          <t>Total CPUs</t>
        </is>
      </c>
      <c r="E11" s="3" t="inlineStr">
        <is>
          <t>CPU Cons.%</t>
        </is>
      </c>
      <c r="F11" s="3" t="inlineStr">
        <is>
          <t>CPU Libre%</t>
        </is>
      </c>
      <c r="G11" s="3" t="inlineStr">
        <is>
          <t>Statut CPU</t>
        </is>
      </c>
      <c r="H11" s="3" t="inlineStr">
        <is>
          <t>Cœurs libres</t>
        </is>
      </c>
      <c r="I11" s="3" t="inlineStr">
        <is>
          <t>RAM Tot.(GB)</t>
        </is>
      </c>
      <c r="J11" s="3" t="inlineStr">
        <is>
          <t>RAM Cons.(GB)</t>
        </is>
      </c>
      <c r="K11" s="3" t="inlineStr">
        <is>
          <t>RAM Libre%</t>
        </is>
      </c>
      <c r="L11" s="3" t="inlineStr">
        <is>
          <t>Statut RAM</t>
        </is>
      </c>
      <c r="M11" s="3" t="inlineStr">
        <is>
          <t>VMs</t>
        </is>
      </c>
      <c r="N11" s="3" t="inlineStr">
        <is>
          <t>Prov.Stg.(GB)</t>
        </is>
      </c>
      <c r="O11" s="3" t="inlineStr">
        <is>
          <t>Alerte globale</t>
        </is>
      </c>
    </row>
    <row r="12" ht="18" customHeight="1">
      <c r="A12" s="31">
        <f>IFERROR(INDEX(tHosts[Cluster],MATCH(0,COUNTIF($A$12,tHosts[Cluster]),0)),"")</f>
        <v/>
      </c>
      <c r="B12" s="32">
        <f>IF(A12="","",IFERROR(INDEX(tHosts[ClusterDatacenter],MATCH(A12,tHosts[Cluster],0)),""))</f>
        <v/>
      </c>
      <c r="C12" s="33">
        <f>IF(A12="","",COUNTIF(tHosts[Cluster],A12))</f>
        <v/>
      </c>
      <c r="D12" s="33">
        <f>IF(A12="","",SUMIF(tHosts[Cluster],A12,tHosts[CPUs]))</f>
        <v/>
      </c>
      <c r="E12" s="34">
        <f>IF(A12="","",IFERROR(AVERAGEIF(tHosts[Cluster],A12,tHosts[Consumed CPU %]),0))</f>
        <v/>
      </c>
      <c r="F12" s="34">
        <f>IF(A12="","",IFERROR(AVERAGEIF(tHosts[Cluster],A12,tHosts[CPU Free %]),0))</f>
        <v/>
      </c>
      <c r="G12" s="32">
        <f>IF(A12="","",IF(F12&lt;0.2,"🔴 Critique",IF(F12&lt;0.3,"⚠️ Warning","✅ OK")))</f>
        <v/>
      </c>
      <c r="H12" s="33">
        <f>IF(A12="","",SUMIF(tHosts[Cluster],A12,tHosts[CPU free cores]))</f>
        <v/>
      </c>
      <c r="I12" s="33">
        <f>IF(A12="","",ROUND(SUMIF(tHosts[Cluster],A12,tHosts[Memory Size (MB)])/1024,0))</f>
        <v/>
      </c>
      <c r="J12" s="33">
        <f>IF(A12="","",ROUND(SUMIF(tHosts[Cluster],A12,tHosts[RAM])/1024,0))</f>
        <v/>
      </c>
      <c r="K12" s="34">
        <f>IF(A12="","",IFERROR(1-J12/I12,0))</f>
        <v/>
      </c>
      <c r="L12" s="32">
        <f>IF(A12="","",IF(K12&lt;0.2,"🔴 Critique",IF(K12&lt;0.3,"⚠️ Warning","✅ OK")))</f>
        <v/>
      </c>
      <c r="M12" s="33">
        <f>IF(A12="","",COUNTIF(tVMs[Cluster],A12))</f>
        <v/>
      </c>
      <c r="N12" s="33">
        <f>IF(A12="","",SUMIF(tVMs[Cluster],A12,tVMs[Provisioned Space]))</f>
        <v/>
      </c>
      <c r="O12" s="32">
        <f>IF(A12="","",IF(F12&lt;0.2,"🔴 CPU critique",IF(K12&lt;0.2,"🔴 RAM critique",IF(F12&lt;0.3,"⚠️ CPU warn",IF(K12&lt;0.3,"⚠️ RAM warn","✅ OK")))))</f>
        <v/>
      </c>
    </row>
    <row r="13" ht="18" customHeight="1">
      <c r="A13" s="35">
        <f>IFERROR(INDEX(tHosts[Cluster],MATCH(0,COUNTIF($A$12:$A$12,tHosts[Cluster]),0)),"")</f>
        <v/>
      </c>
      <c r="B13" s="36">
        <f>IF(A13="","",IFERROR(INDEX(tHosts[ClusterDatacenter],MATCH(A13,tHosts[Cluster],0)),""))</f>
        <v/>
      </c>
      <c r="C13" s="37">
        <f>IF(A13="","",COUNTIF(tHosts[Cluster],A13))</f>
        <v/>
      </c>
      <c r="D13" s="37">
        <f>IF(A13="","",SUMIF(tHosts[Cluster],A13,tHosts[CPUs]))</f>
        <v/>
      </c>
      <c r="E13" s="38">
        <f>IF(A13="","",IFERROR(AVERAGEIF(tHosts[Cluster],A13,tHosts[Consumed CPU %]),0))</f>
        <v/>
      </c>
      <c r="F13" s="38">
        <f>IF(A13="","",IFERROR(AVERAGEIF(tHosts[Cluster],A13,tHosts[CPU Free %]),0))</f>
        <v/>
      </c>
      <c r="G13" s="36">
        <f>IF(A13="","",IF(F13&lt;0.2,"🔴 Critique",IF(F13&lt;0.3,"⚠️ Warning","✅ OK")))</f>
        <v/>
      </c>
      <c r="H13" s="37">
        <f>IF(A13="","",SUMIF(tHosts[Cluster],A13,tHosts[CPU free cores]))</f>
        <v/>
      </c>
      <c r="I13" s="37">
        <f>IF(A13="","",ROUND(SUMIF(tHosts[Cluster],A13,tHosts[Memory Size (MB)])/1024,0))</f>
        <v/>
      </c>
      <c r="J13" s="37">
        <f>IF(A13="","",ROUND(SUMIF(tHosts[Cluster],A13,tHosts[RAM])/1024,0))</f>
        <v/>
      </c>
      <c r="K13" s="38">
        <f>IF(A13="","",IFERROR(1-J13/I13,0))</f>
        <v/>
      </c>
      <c r="L13" s="36">
        <f>IF(A13="","",IF(K13&lt;0.2,"🔴 Critique",IF(K13&lt;0.3,"⚠️ Warning","✅ OK")))</f>
        <v/>
      </c>
      <c r="M13" s="37">
        <f>IF(A13="","",COUNTIF(tVMs[Cluster],A13))</f>
        <v/>
      </c>
      <c r="N13" s="37">
        <f>IF(A13="","",SUMIF(tVMs[Cluster],A13,tVMs[Provisioned Space]))</f>
        <v/>
      </c>
      <c r="O13" s="36">
        <f>IF(A13="","",IF(F13&lt;0.2,"🔴 CPU critique",IF(K13&lt;0.2,"🔴 RAM critique",IF(F13&lt;0.3,"⚠️ CPU warn",IF(K13&lt;0.3,"⚠️ RAM warn","✅ OK")))))</f>
        <v/>
      </c>
    </row>
    <row r="14" ht="18" customHeight="1">
      <c r="A14" s="31">
        <f>IFERROR(INDEX(tHosts[Cluster],MATCH(0,COUNTIF($A$12:$A$13,tHosts[Cluster]),0)),"")</f>
        <v/>
      </c>
      <c r="B14" s="32">
        <f>IF(A14="","",IFERROR(INDEX(tHosts[ClusterDatacenter],MATCH(A14,tHosts[Cluster],0)),""))</f>
        <v/>
      </c>
      <c r="C14" s="33">
        <f>IF(A14="","",COUNTIF(tHosts[Cluster],A14))</f>
        <v/>
      </c>
      <c r="D14" s="33">
        <f>IF(A14="","",SUMIF(tHosts[Cluster],A14,tHosts[CPUs]))</f>
        <v/>
      </c>
      <c r="E14" s="34">
        <f>IF(A14="","",IFERROR(AVERAGEIF(tHosts[Cluster],A14,tHosts[Consumed CPU %]),0))</f>
        <v/>
      </c>
      <c r="F14" s="34">
        <f>IF(A14="","",IFERROR(AVERAGEIF(tHosts[Cluster],A14,tHosts[CPU Free %]),0))</f>
        <v/>
      </c>
      <c r="G14" s="32">
        <f>IF(A14="","",IF(F14&lt;0.2,"🔴 Critique",IF(F14&lt;0.3,"⚠️ Warning","✅ OK")))</f>
        <v/>
      </c>
      <c r="H14" s="33">
        <f>IF(A14="","",SUMIF(tHosts[Cluster],A14,tHosts[CPU free cores]))</f>
        <v/>
      </c>
      <c r="I14" s="33">
        <f>IF(A14="","",ROUND(SUMIF(tHosts[Cluster],A14,tHosts[Memory Size (MB)])/1024,0))</f>
        <v/>
      </c>
      <c r="J14" s="33">
        <f>IF(A14="","",ROUND(SUMIF(tHosts[Cluster],A14,tHosts[RAM])/1024,0))</f>
        <v/>
      </c>
      <c r="K14" s="34">
        <f>IF(A14="","",IFERROR(1-J14/I14,0))</f>
        <v/>
      </c>
      <c r="L14" s="32">
        <f>IF(A14="","",IF(K14&lt;0.2,"🔴 Critique",IF(K14&lt;0.3,"⚠️ Warning","✅ OK")))</f>
        <v/>
      </c>
      <c r="M14" s="33">
        <f>IF(A14="","",COUNTIF(tVMs[Cluster],A14))</f>
        <v/>
      </c>
      <c r="N14" s="33">
        <f>IF(A14="","",SUMIF(tVMs[Cluster],A14,tVMs[Provisioned Space]))</f>
        <v/>
      </c>
      <c r="O14" s="32">
        <f>IF(A14="","",IF(F14&lt;0.2,"🔴 CPU critique",IF(K14&lt;0.2,"🔴 RAM critique",IF(F14&lt;0.3,"⚠️ CPU warn",IF(K14&lt;0.3,"⚠️ RAM warn","✅ OK")))))</f>
        <v/>
      </c>
    </row>
    <row r="15" ht="18" customHeight="1">
      <c r="A15" s="35">
        <f>IFERROR(INDEX(tHosts[Cluster],MATCH(0,COUNTIF($A$12:$A$14,tHosts[Cluster]),0)),"")</f>
        <v/>
      </c>
      <c r="B15" s="36">
        <f>IF(A15="","",IFERROR(INDEX(tHosts[ClusterDatacenter],MATCH(A15,tHosts[Cluster],0)),""))</f>
        <v/>
      </c>
      <c r="C15" s="37">
        <f>IF(A15="","",COUNTIF(tHosts[Cluster],A15))</f>
        <v/>
      </c>
      <c r="D15" s="37">
        <f>IF(A15="","",SUMIF(tHosts[Cluster],A15,tHosts[CPUs]))</f>
        <v/>
      </c>
      <c r="E15" s="38">
        <f>IF(A15="","",IFERROR(AVERAGEIF(tHosts[Cluster],A15,tHosts[Consumed CPU %]),0))</f>
        <v/>
      </c>
      <c r="F15" s="38">
        <f>IF(A15="","",IFERROR(AVERAGEIF(tHosts[Cluster],A15,tHosts[CPU Free %]),0))</f>
        <v/>
      </c>
      <c r="G15" s="36">
        <f>IF(A15="","",IF(F15&lt;0.2,"🔴 Critique",IF(F15&lt;0.3,"⚠️ Warning","✅ OK")))</f>
        <v/>
      </c>
      <c r="H15" s="37">
        <f>IF(A15="","",SUMIF(tHosts[Cluster],A15,tHosts[CPU free cores]))</f>
        <v/>
      </c>
      <c r="I15" s="37">
        <f>IF(A15="","",ROUND(SUMIF(tHosts[Cluster],A15,tHosts[Memory Size (MB)])/1024,0))</f>
        <v/>
      </c>
      <c r="J15" s="37">
        <f>IF(A15="","",ROUND(SUMIF(tHosts[Cluster],A15,tHosts[RAM])/1024,0))</f>
        <v/>
      </c>
      <c r="K15" s="38">
        <f>IF(A15="","",IFERROR(1-J15/I15,0))</f>
        <v/>
      </c>
      <c r="L15" s="36">
        <f>IF(A15="","",IF(K15&lt;0.2,"🔴 Critique",IF(K15&lt;0.3,"⚠️ Warning","✅ OK")))</f>
        <v/>
      </c>
      <c r="M15" s="37">
        <f>IF(A15="","",COUNTIF(tVMs[Cluster],A15))</f>
        <v/>
      </c>
      <c r="N15" s="37">
        <f>IF(A15="","",SUMIF(tVMs[Cluster],A15,tVMs[Provisioned Space]))</f>
        <v/>
      </c>
      <c r="O15" s="36">
        <f>IF(A15="","",IF(F15&lt;0.2,"🔴 CPU critique",IF(K15&lt;0.2,"🔴 RAM critique",IF(F15&lt;0.3,"⚠️ CPU warn",IF(K15&lt;0.3,"⚠️ RAM warn","✅ OK")))))</f>
        <v/>
      </c>
    </row>
    <row r="16" ht="18" customHeight="1">
      <c r="A16" s="31">
        <f>IFERROR(INDEX(tHosts[Cluster],MATCH(0,COUNTIF($A$12:$A$15,tHosts[Cluster]),0)),"")</f>
        <v/>
      </c>
      <c r="B16" s="32">
        <f>IF(A16="","",IFERROR(INDEX(tHosts[ClusterDatacenter],MATCH(A16,tHosts[Cluster],0)),""))</f>
        <v/>
      </c>
      <c r="C16" s="33">
        <f>IF(A16="","",COUNTIF(tHosts[Cluster],A16))</f>
        <v/>
      </c>
      <c r="D16" s="33">
        <f>IF(A16="","",SUMIF(tHosts[Cluster],A16,tHosts[CPUs]))</f>
        <v/>
      </c>
      <c r="E16" s="34">
        <f>IF(A16="","",IFERROR(AVERAGEIF(tHosts[Cluster],A16,tHosts[Consumed CPU %]),0))</f>
        <v/>
      </c>
      <c r="F16" s="34">
        <f>IF(A16="","",IFERROR(AVERAGEIF(tHosts[Cluster],A16,tHosts[CPU Free %]),0))</f>
        <v/>
      </c>
      <c r="G16" s="32">
        <f>IF(A16="","",IF(F16&lt;0.2,"🔴 Critique",IF(F16&lt;0.3,"⚠️ Warning","✅ OK")))</f>
        <v/>
      </c>
      <c r="H16" s="33">
        <f>IF(A16="","",SUMIF(tHosts[Cluster],A16,tHosts[CPU free cores]))</f>
        <v/>
      </c>
      <c r="I16" s="33">
        <f>IF(A16="","",ROUND(SUMIF(tHosts[Cluster],A16,tHosts[Memory Size (MB)])/1024,0))</f>
        <v/>
      </c>
      <c r="J16" s="33">
        <f>IF(A16="","",ROUND(SUMIF(tHosts[Cluster],A16,tHosts[RAM])/1024,0))</f>
        <v/>
      </c>
      <c r="K16" s="34">
        <f>IF(A16="","",IFERROR(1-J16/I16,0))</f>
        <v/>
      </c>
      <c r="L16" s="32">
        <f>IF(A16="","",IF(K16&lt;0.2,"🔴 Critique",IF(K16&lt;0.3,"⚠️ Warning","✅ OK")))</f>
        <v/>
      </c>
      <c r="M16" s="33">
        <f>IF(A16="","",COUNTIF(tVMs[Cluster],A16))</f>
        <v/>
      </c>
      <c r="N16" s="33">
        <f>IF(A16="","",SUMIF(tVMs[Cluster],A16,tVMs[Provisioned Space]))</f>
        <v/>
      </c>
      <c r="O16" s="32">
        <f>IF(A16="","",IF(F16&lt;0.2,"🔴 CPU critique",IF(K16&lt;0.2,"🔴 RAM critique",IF(F16&lt;0.3,"⚠️ CPU warn",IF(K16&lt;0.3,"⚠️ RAM warn","✅ OK")))))</f>
        <v/>
      </c>
    </row>
    <row r="17" ht="18" customHeight="1">
      <c r="A17" s="35">
        <f>IFERROR(INDEX(tHosts[Cluster],MATCH(0,COUNTIF($A$12:$A$16,tHosts[Cluster]),0)),"")</f>
        <v/>
      </c>
      <c r="B17" s="36">
        <f>IF(A17="","",IFERROR(INDEX(tHosts[ClusterDatacenter],MATCH(A17,tHosts[Cluster],0)),""))</f>
        <v/>
      </c>
      <c r="C17" s="37">
        <f>IF(A17="","",COUNTIF(tHosts[Cluster],A17))</f>
        <v/>
      </c>
      <c r="D17" s="37">
        <f>IF(A17="","",SUMIF(tHosts[Cluster],A17,tHosts[CPUs]))</f>
        <v/>
      </c>
      <c r="E17" s="38">
        <f>IF(A17="","",IFERROR(AVERAGEIF(tHosts[Cluster],A17,tHosts[Consumed CPU %]),0))</f>
        <v/>
      </c>
      <c r="F17" s="38">
        <f>IF(A17="","",IFERROR(AVERAGEIF(tHosts[Cluster],A17,tHosts[CPU Free %]),0))</f>
        <v/>
      </c>
      <c r="G17" s="36">
        <f>IF(A17="","",IF(F17&lt;0.2,"🔴 Critique",IF(F17&lt;0.3,"⚠️ Warning","✅ OK")))</f>
        <v/>
      </c>
      <c r="H17" s="37">
        <f>IF(A17="","",SUMIF(tHosts[Cluster],A17,tHosts[CPU free cores]))</f>
        <v/>
      </c>
      <c r="I17" s="37">
        <f>IF(A17="","",ROUND(SUMIF(tHosts[Cluster],A17,tHosts[Memory Size (MB)])/1024,0))</f>
        <v/>
      </c>
      <c r="J17" s="37">
        <f>IF(A17="","",ROUND(SUMIF(tHosts[Cluster],A17,tHosts[RAM])/1024,0))</f>
        <v/>
      </c>
      <c r="K17" s="38">
        <f>IF(A17="","",IFERROR(1-J17/I17,0))</f>
        <v/>
      </c>
      <c r="L17" s="36">
        <f>IF(A17="","",IF(K17&lt;0.2,"🔴 Critique",IF(K17&lt;0.3,"⚠️ Warning","✅ OK")))</f>
        <v/>
      </c>
      <c r="M17" s="37">
        <f>IF(A17="","",COUNTIF(tVMs[Cluster],A17))</f>
        <v/>
      </c>
      <c r="N17" s="37">
        <f>IF(A17="","",SUMIF(tVMs[Cluster],A17,tVMs[Provisioned Space]))</f>
        <v/>
      </c>
      <c r="O17" s="36">
        <f>IF(A17="","",IF(F17&lt;0.2,"🔴 CPU critique",IF(K17&lt;0.2,"🔴 RAM critique",IF(F17&lt;0.3,"⚠️ CPU warn",IF(K17&lt;0.3,"⚠️ RAM warn","✅ OK")))))</f>
        <v/>
      </c>
    </row>
    <row r="18" ht="18" customHeight="1">
      <c r="A18" s="31">
        <f>IFERROR(INDEX(tHosts[Cluster],MATCH(0,COUNTIF($A$12:$A$17,tHosts[Cluster]),0)),"")</f>
        <v/>
      </c>
      <c r="B18" s="32">
        <f>IF(A18="","",IFERROR(INDEX(tHosts[ClusterDatacenter],MATCH(A18,tHosts[Cluster],0)),""))</f>
        <v/>
      </c>
      <c r="C18" s="33">
        <f>IF(A18="","",COUNTIF(tHosts[Cluster],A18))</f>
        <v/>
      </c>
      <c r="D18" s="33">
        <f>IF(A18="","",SUMIF(tHosts[Cluster],A18,tHosts[CPUs]))</f>
        <v/>
      </c>
      <c r="E18" s="34">
        <f>IF(A18="","",IFERROR(AVERAGEIF(tHosts[Cluster],A18,tHosts[Consumed CPU %]),0))</f>
        <v/>
      </c>
      <c r="F18" s="34">
        <f>IF(A18="","",IFERROR(AVERAGEIF(tHosts[Cluster],A18,tHosts[CPU Free %]),0))</f>
        <v/>
      </c>
      <c r="G18" s="32">
        <f>IF(A18="","",IF(F18&lt;0.2,"🔴 Critique",IF(F18&lt;0.3,"⚠️ Warning","✅ OK")))</f>
        <v/>
      </c>
      <c r="H18" s="33">
        <f>IF(A18="","",SUMIF(tHosts[Cluster],A18,tHosts[CPU free cores]))</f>
        <v/>
      </c>
      <c r="I18" s="33">
        <f>IF(A18="","",ROUND(SUMIF(tHosts[Cluster],A18,tHosts[Memory Size (MB)])/1024,0))</f>
        <v/>
      </c>
      <c r="J18" s="33">
        <f>IF(A18="","",ROUND(SUMIF(tHosts[Cluster],A18,tHosts[RAM])/1024,0))</f>
        <v/>
      </c>
      <c r="K18" s="34">
        <f>IF(A18="","",IFERROR(1-J18/I18,0))</f>
        <v/>
      </c>
      <c r="L18" s="32">
        <f>IF(A18="","",IF(K18&lt;0.2,"🔴 Critique",IF(K18&lt;0.3,"⚠️ Warning","✅ OK")))</f>
        <v/>
      </c>
      <c r="M18" s="33">
        <f>IF(A18="","",COUNTIF(tVMs[Cluster],A18))</f>
        <v/>
      </c>
      <c r="N18" s="33">
        <f>IF(A18="","",SUMIF(tVMs[Cluster],A18,tVMs[Provisioned Space]))</f>
        <v/>
      </c>
      <c r="O18" s="32">
        <f>IF(A18="","",IF(F18&lt;0.2,"🔴 CPU critique",IF(K18&lt;0.2,"🔴 RAM critique",IF(F18&lt;0.3,"⚠️ CPU warn",IF(K18&lt;0.3,"⚠️ RAM warn","✅ OK")))))</f>
        <v/>
      </c>
    </row>
    <row r="19" ht="18" customHeight="1">
      <c r="A19" s="35">
        <f>IFERROR(INDEX(tHosts[Cluster],MATCH(0,COUNTIF($A$12:$A$18,tHosts[Cluster]),0)),"")</f>
        <v/>
      </c>
      <c r="B19" s="36">
        <f>IF(A19="","",IFERROR(INDEX(tHosts[ClusterDatacenter],MATCH(A19,tHosts[Cluster],0)),""))</f>
        <v/>
      </c>
      <c r="C19" s="37">
        <f>IF(A19="","",COUNTIF(tHosts[Cluster],A19))</f>
        <v/>
      </c>
      <c r="D19" s="37">
        <f>IF(A19="","",SUMIF(tHosts[Cluster],A19,tHosts[CPUs]))</f>
        <v/>
      </c>
      <c r="E19" s="38">
        <f>IF(A19="","",IFERROR(AVERAGEIF(tHosts[Cluster],A19,tHosts[Consumed CPU %]),0))</f>
        <v/>
      </c>
      <c r="F19" s="38">
        <f>IF(A19="","",IFERROR(AVERAGEIF(tHosts[Cluster],A19,tHosts[CPU Free %]),0))</f>
        <v/>
      </c>
      <c r="G19" s="36">
        <f>IF(A19="","",IF(F19&lt;0.2,"🔴 Critique",IF(F19&lt;0.3,"⚠️ Warning","✅ OK")))</f>
        <v/>
      </c>
      <c r="H19" s="37">
        <f>IF(A19="","",SUMIF(tHosts[Cluster],A19,tHosts[CPU free cores]))</f>
        <v/>
      </c>
      <c r="I19" s="37">
        <f>IF(A19="","",ROUND(SUMIF(tHosts[Cluster],A19,tHosts[Memory Size (MB)])/1024,0))</f>
        <v/>
      </c>
      <c r="J19" s="37">
        <f>IF(A19="","",ROUND(SUMIF(tHosts[Cluster],A19,tHosts[RAM])/1024,0))</f>
        <v/>
      </c>
      <c r="K19" s="38">
        <f>IF(A19="","",IFERROR(1-J19/I19,0))</f>
        <v/>
      </c>
      <c r="L19" s="36">
        <f>IF(A19="","",IF(K19&lt;0.2,"🔴 Critique",IF(K19&lt;0.3,"⚠️ Warning","✅ OK")))</f>
        <v/>
      </c>
      <c r="M19" s="37">
        <f>IF(A19="","",COUNTIF(tVMs[Cluster],A19))</f>
        <v/>
      </c>
      <c r="N19" s="37">
        <f>IF(A19="","",SUMIF(tVMs[Cluster],A19,tVMs[Provisioned Space]))</f>
        <v/>
      </c>
      <c r="O19" s="36">
        <f>IF(A19="","",IF(F19&lt;0.2,"🔴 CPU critique",IF(K19&lt;0.2,"🔴 RAM critique",IF(F19&lt;0.3,"⚠️ CPU warn",IF(K19&lt;0.3,"⚠️ RAM warn","✅ OK")))))</f>
        <v/>
      </c>
    </row>
    <row r="20" ht="18" customHeight="1">
      <c r="A20" s="31">
        <f>IFERROR(INDEX(tHosts[Cluster],MATCH(0,COUNTIF($A$12:$A$19,tHosts[Cluster]),0)),"")</f>
        <v/>
      </c>
      <c r="B20" s="32">
        <f>IF(A20="","",IFERROR(INDEX(tHosts[ClusterDatacenter],MATCH(A20,tHosts[Cluster],0)),""))</f>
        <v/>
      </c>
      <c r="C20" s="33">
        <f>IF(A20="","",COUNTIF(tHosts[Cluster],A20))</f>
        <v/>
      </c>
      <c r="D20" s="33">
        <f>IF(A20="","",SUMIF(tHosts[Cluster],A20,tHosts[CPUs]))</f>
        <v/>
      </c>
      <c r="E20" s="34">
        <f>IF(A20="","",IFERROR(AVERAGEIF(tHosts[Cluster],A20,tHosts[Consumed CPU %]),0))</f>
        <v/>
      </c>
      <c r="F20" s="34">
        <f>IF(A20="","",IFERROR(AVERAGEIF(tHosts[Cluster],A20,tHosts[CPU Free %]),0))</f>
        <v/>
      </c>
      <c r="G20" s="32">
        <f>IF(A20="","",IF(F20&lt;0.2,"🔴 Critique",IF(F20&lt;0.3,"⚠️ Warning","✅ OK")))</f>
        <v/>
      </c>
      <c r="H20" s="33">
        <f>IF(A20="","",SUMIF(tHosts[Cluster],A20,tHosts[CPU free cores]))</f>
        <v/>
      </c>
      <c r="I20" s="33">
        <f>IF(A20="","",ROUND(SUMIF(tHosts[Cluster],A20,tHosts[Memory Size (MB)])/1024,0))</f>
        <v/>
      </c>
      <c r="J20" s="33">
        <f>IF(A20="","",ROUND(SUMIF(tHosts[Cluster],A20,tHosts[RAM])/1024,0))</f>
        <v/>
      </c>
      <c r="K20" s="34">
        <f>IF(A20="","",IFERROR(1-J20/I20,0))</f>
        <v/>
      </c>
      <c r="L20" s="32">
        <f>IF(A20="","",IF(K20&lt;0.2,"🔴 Critique",IF(K20&lt;0.3,"⚠️ Warning","✅ OK")))</f>
        <v/>
      </c>
      <c r="M20" s="33">
        <f>IF(A20="","",COUNTIF(tVMs[Cluster],A20))</f>
        <v/>
      </c>
      <c r="N20" s="33">
        <f>IF(A20="","",SUMIF(tVMs[Cluster],A20,tVMs[Provisioned Space]))</f>
        <v/>
      </c>
      <c r="O20" s="32">
        <f>IF(A20="","",IF(F20&lt;0.2,"🔴 CPU critique",IF(K20&lt;0.2,"🔴 RAM critique",IF(F20&lt;0.3,"⚠️ CPU warn",IF(K20&lt;0.3,"⚠️ RAM warn","✅ OK")))))</f>
        <v/>
      </c>
    </row>
    <row r="21" ht="18" customHeight="1">
      <c r="A21" s="35">
        <f>IFERROR(INDEX(tHosts[Cluster],MATCH(0,COUNTIF($A$12:$A$20,tHosts[Cluster]),0)),"")</f>
        <v/>
      </c>
      <c r="B21" s="36">
        <f>IF(A21="","",IFERROR(INDEX(tHosts[ClusterDatacenter],MATCH(A21,tHosts[Cluster],0)),""))</f>
        <v/>
      </c>
      <c r="C21" s="37">
        <f>IF(A21="","",COUNTIF(tHosts[Cluster],A21))</f>
        <v/>
      </c>
      <c r="D21" s="37">
        <f>IF(A21="","",SUMIF(tHosts[Cluster],A21,tHosts[CPUs]))</f>
        <v/>
      </c>
      <c r="E21" s="38">
        <f>IF(A21="","",IFERROR(AVERAGEIF(tHosts[Cluster],A21,tHosts[Consumed CPU %]),0))</f>
        <v/>
      </c>
      <c r="F21" s="38">
        <f>IF(A21="","",IFERROR(AVERAGEIF(tHosts[Cluster],A21,tHosts[CPU Free %]),0))</f>
        <v/>
      </c>
      <c r="G21" s="36">
        <f>IF(A21="","",IF(F21&lt;0.2,"🔴 Critique",IF(F21&lt;0.3,"⚠️ Warning","✅ OK")))</f>
        <v/>
      </c>
      <c r="H21" s="37">
        <f>IF(A21="","",SUMIF(tHosts[Cluster],A21,tHosts[CPU free cores]))</f>
        <v/>
      </c>
      <c r="I21" s="37">
        <f>IF(A21="","",ROUND(SUMIF(tHosts[Cluster],A21,tHosts[Memory Size (MB)])/1024,0))</f>
        <v/>
      </c>
      <c r="J21" s="37">
        <f>IF(A21="","",ROUND(SUMIF(tHosts[Cluster],A21,tHosts[RAM])/1024,0))</f>
        <v/>
      </c>
      <c r="K21" s="38">
        <f>IF(A21="","",IFERROR(1-J21/I21,0))</f>
        <v/>
      </c>
      <c r="L21" s="36">
        <f>IF(A21="","",IF(K21&lt;0.2,"🔴 Critique",IF(K21&lt;0.3,"⚠️ Warning","✅ OK")))</f>
        <v/>
      </c>
      <c r="M21" s="37">
        <f>IF(A21="","",COUNTIF(tVMs[Cluster],A21))</f>
        <v/>
      </c>
      <c r="N21" s="37">
        <f>IF(A21="","",SUMIF(tVMs[Cluster],A21,tVMs[Provisioned Space]))</f>
        <v/>
      </c>
      <c r="O21" s="36">
        <f>IF(A21="","",IF(F21&lt;0.2,"🔴 CPU critique",IF(K21&lt;0.2,"🔴 RAM critique",IF(F21&lt;0.3,"⚠️ CPU warn",IF(K21&lt;0.3,"⚠️ RAM warn","✅ OK")))))</f>
        <v/>
      </c>
    </row>
    <row r="22" ht="18" customHeight="1">
      <c r="A22" s="31">
        <f>IFERROR(INDEX(tHosts[Cluster],MATCH(0,COUNTIF($A$12:$A$21,tHosts[Cluster]),0)),"")</f>
        <v/>
      </c>
      <c r="B22" s="32">
        <f>IF(A22="","",IFERROR(INDEX(tHosts[ClusterDatacenter],MATCH(A22,tHosts[Cluster],0)),""))</f>
        <v/>
      </c>
      <c r="C22" s="33">
        <f>IF(A22="","",COUNTIF(tHosts[Cluster],A22))</f>
        <v/>
      </c>
      <c r="D22" s="33">
        <f>IF(A22="","",SUMIF(tHosts[Cluster],A22,tHosts[CPUs]))</f>
        <v/>
      </c>
      <c r="E22" s="34">
        <f>IF(A22="","",IFERROR(AVERAGEIF(tHosts[Cluster],A22,tHosts[Consumed CPU %]),0))</f>
        <v/>
      </c>
      <c r="F22" s="34">
        <f>IF(A22="","",IFERROR(AVERAGEIF(tHosts[Cluster],A22,tHosts[CPU Free %]),0))</f>
        <v/>
      </c>
      <c r="G22" s="32">
        <f>IF(A22="","",IF(F22&lt;0.2,"🔴 Critique",IF(F22&lt;0.3,"⚠️ Warning","✅ OK")))</f>
        <v/>
      </c>
      <c r="H22" s="33">
        <f>IF(A22="","",SUMIF(tHosts[Cluster],A22,tHosts[CPU free cores]))</f>
        <v/>
      </c>
      <c r="I22" s="33">
        <f>IF(A22="","",ROUND(SUMIF(tHosts[Cluster],A22,tHosts[Memory Size (MB)])/1024,0))</f>
        <v/>
      </c>
      <c r="J22" s="33">
        <f>IF(A22="","",ROUND(SUMIF(tHosts[Cluster],A22,tHosts[RAM])/1024,0))</f>
        <v/>
      </c>
      <c r="K22" s="34">
        <f>IF(A22="","",IFERROR(1-J22/I22,0))</f>
        <v/>
      </c>
      <c r="L22" s="32">
        <f>IF(A22="","",IF(K22&lt;0.2,"🔴 Critique",IF(K22&lt;0.3,"⚠️ Warning","✅ OK")))</f>
        <v/>
      </c>
      <c r="M22" s="33">
        <f>IF(A22="","",COUNTIF(tVMs[Cluster],A22))</f>
        <v/>
      </c>
      <c r="N22" s="33">
        <f>IF(A22="","",SUMIF(tVMs[Cluster],A22,tVMs[Provisioned Space]))</f>
        <v/>
      </c>
      <c r="O22" s="32">
        <f>IF(A22="","",IF(F22&lt;0.2,"🔴 CPU critique",IF(K22&lt;0.2,"🔴 RAM critique",IF(F22&lt;0.3,"⚠️ CPU warn",IF(K22&lt;0.3,"⚠️ RAM warn","✅ OK")))))</f>
        <v/>
      </c>
    </row>
    <row r="23" ht="18" customHeight="1">
      <c r="A23" s="35">
        <f>IFERROR(INDEX(tHosts[Cluster],MATCH(0,COUNTIF($A$12:$A$22,tHosts[Cluster]),0)),"")</f>
        <v/>
      </c>
      <c r="B23" s="36">
        <f>IF(A23="","",IFERROR(INDEX(tHosts[ClusterDatacenter],MATCH(A23,tHosts[Cluster],0)),""))</f>
        <v/>
      </c>
      <c r="C23" s="37">
        <f>IF(A23="","",COUNTIF(tHosts[Cluster],A23))</f>
        <v/>
      </c>
      <c r="D23" s="37">
        <f>IF(A23="","",SUMIF(tHosts[Cluster],A23,tHosts[CPUs]))</f>
        <v/>
      </c>
      <c r="E23" s="38">
        <f>IF(A23="","",IFERROR(AVERAGEIF(tHosts[Cluster],A23,tHosts[Consumed CPU %]),0))</f>
        <v/>
      </c>
      <c r="F23" s="38">
        <f>IF(A23="","",IFERROR(AVERAGEIF(tHosts[Cluster],A23,tHosts[CPU Free %]),0))</f>
        <v/>
      </c>
      <c r="G23" s="36">
        <f>IF(A23="","",IF(F23&lt;0.2,"🔴 Critique",IF(F23&lt;0.3,"⚠️ Warning","✅ OK")))</f>
        <v/>
      </c>
      <c r="H23" s="37">
        <f>IF(A23="","",SUMIF(tHosts[Cluster],A23,tHosts[CPU free cores]))</f>
        <v/>
      </c>
      <c r="I23" s="37">
        <f>IF(A23="","",ROUND(SUMIF(tHosts[Cluster],A23,tHosts[Memory Size (MB)])/1024,0))</f>
        <v/>
      </c>
      <c r="J23" s="37">
        <f>IF(A23="","",ROUND(SUMIF(tHosts[Cluster],A23,tHosts[RAM])/1024,0))</f>
        <v/>
      </c>
      <c r="K23" s="38">
        <f>IF(A23="","",IFERROR(1-J23/I23,0))</f>
        <v/>
      </c>
      <c r="L23" s="36">
        <f>IF(A23="","",IF(K23&lt;0.2,"🔴 Critique",IF(K23&lt;0.3,"⚠️ Warning","✅ OK")))</f>
        <v/>
      </c>
      <c r="M23" s="37">
        <f>IF(A23="","",COUNTIF(tVMs[Cluster],A23))</f>
        <v/>
      </c>
      <c r="N23" s="37">
        <f>IF(A23="","",SUMIF(tVMs[Cluster],A23,tVMs[Provisioned Space]))</f>
        <v/>
      </c>
      <c r="O23" s="36">
        <f>IF(A23="","",IF(F23&lt;0.2,"🔴 CPU critique",IF(K23&lt;0.2,"🔴 RAM critique",IF(F23&lt;0.3,"⚠️ CPU warn",IF(K23&lt;0.3,"⚠️ RAM warn","✅ OK")))))</f>
        <v/>
      </c>
    </row>
    <row r="24" ht="18" customHeight="1">
      <c r="A24" s="31">
        <f>IFERROR(INDEX(tHosts[Cluster],MATCH(0,COUNTIF($A$12:$A$23,tHosts[Cluster]),0)),"")</f>
        <v/>
      </c>
      <c r="B24" s="32">
        <f>IF(A24="","",IFERROR(INDEX(tHosts[ClusterDatacenter],MATCH(A24,tHosts[Cluster],0)),""))</f>
        <v/>
      </c>
      <c r="C24" s="33">
        <f>IF(A24="","",COUNTIF(tHosts[Cluster],A24))</f>
        <v/>
      </c>
      <c r="D24" s="33">
        <f>IF(A24="","",SUMIF(tHosts[Cluster],A24,tHosts[CPUs]))</f>
        <v/>
      </c>
      <c r="E24" s="34">
        <f>IF(A24="","",IFERROR(AVERAGEIF(tHosts[Cluster],A24,tHosts[Consumed CPU %]),0))</f>
        <v/>
      </c>
      <c r="F24" s="34">
        <f>IF(A24="","",IFERROR(AVERAGEIF(tHosts[Cluster],A24,tHosts[CPU Free %]),0))</f>
        <v/>
      </c>
      <c r="G24" s="32">
        <f>IF(A24="","",IF(F24&lt;0.2,"🔴 Critique",IF(F24&lt;0.3,"⚠️ Warning","✅ OK")))</f>
        <v/>
      </c>
      <c r="H24" s="33">
        <f>IF(A24="","",SUMIF(tHosts[Cluster],A24,tHosts[CPU free cores]))</f>
        <v/>
      </c>
      <c r="I24" s="33">
        <f>IF(A24="","",ROUND(SUMIF(tHosts[Cluster],A24,tHosts[Memory Size (MB)])/1024,0))</f>
        <v/>
      </c>
      <c r="J24" s="33">
        <f>IF(A24="","",ROUND(SUMIF(tHosts[Cluster],A24,tHosts[RAM])/1024,0))</f>
        <v/>
      </c>
      <c r="K24" s="34">
        <f>IF(A24="","",IFERROR(1-J24/I24,0))</f>
        <v/>
      </c>
      <c r="L24" s="32">
        <f>IF(A24="","",IF(K24&lt;0.2,"🔴 Critique",IF(K24&lt;0.3,"⚠️ Warning","✅ OK")))</f>
        <v/>
      </c>
      <c r="M24" s="33">
        <f>IF(A24="","",COUNTIF(tVMs[Cluster],A24))</f>
        <v/>
      </c>
      <c r="N24" s="33">
        <f>IF(A24="","",SUMIF(tVMs[Cluster],A24,tVMs[Provisioned Space]))</f>
        <v/>
      </c>
      <c r="O24" s="32">
        <f>IF(A24="","",IF(F24&lt;0.2,"🔴 CPU critique",IF(K24&lt;0.2,"🔴 RAM critique",IF(F24&lt;0.3,"⚠️ CPU warn",IF(K24&lt;0.3,"⚠️ RAM warn","✅ OK")))))</f>
        <v/>
      </c>
    </row>
    <row r="25" ht="18" customHeight="1">
      <c r="A25" s="35">
        <f>IFERROR(INDEX(tHosts[Cluster],MATCH(0,COUNTIF($A$12:$A$24,tHosts[Cluster]),0)),"")</f>
        <v/>
      </c>
      <c r="B25" s="36">
        <f>IF(A25="","",IFERROR(INDEX(tHosts[ClusterDatacenter],MATCH(A25,tHosts[Cluster],0)),""))</f>
        <v/>
      </c>
      <c r="C25" s="37">
        <f>IF(A25="","",COUNTIF(tHosts[Cluster],A25))</f>
        <v/>
      </c>
      <c r="D25" s="37">
        <f>IF(A25="","",SUMIF(tHosts[Cluster],A25,tHosts[CPUs]))</f>
        <v/>
      </c>
      <c r="E25" s="38">
        <f>IF(A25="","",IFERROR(AVERAGEIF(tHosts[Cluster],A25,tHosts[Consumed CPU %]),0))</f>
        <v/>
      </c>
      <c r="F25" s="38">
        <f>IF(A25="","",IFERROR(AVERAGEIF(tHosts[Cluster],A25,tHosts[CPU Free %]),0))</f>
        <v/>
      </c>
      <c r="G25" s="36">
        <f>IF(A25="","",IF(F25&lt;0.2,"🔴 Critique",IF(F25&lt;0.3,"⚠️ Warning","✅ OK")))</f>
        <v/>
      </c>
      <c r="H25" s="37">
        <f>IF(A25="","",SUMIF(tHosts[Cluster],A25,tHosts[CPU free cores]))</f>
        <v/>
      </c>
      <c r="I25" s="37">
        <f>IF(A25="","",ROUND(SUMIF(tHosts[Cluster],A25,tHosts[Memory Size (MB)])/1024,0))</f>
        <v/>
      </c>
      <c r="J25" s="37">
        <f>IF(A25="","",ROUND(SUMIF(tHosts[Cluster],A25,tHosts[RAM])/1024,0))</f>
        <v/>
      </c>
      <c r="K25" s="38">
        <f>IF(A25="","",IFERROR(1-J25/I25,0))</f>
        <v/>
      </c>
      <c r="L25" s="36">
        <f>IF(A25="","",IF(K25&lt;0.2,"🔴 Critique",IF(K25&lt;0.3,"⚠️ Warning","✅ OK")))</f>
        <v/>
      </c>
      <c r="M25" s="37">
        <f>IF(A25="","",COUNTIF(tVMs[Cluster],A25))</f>
        <v/>
      </c>
      <c r="N25" s="37">
        <f>IF(A25="","",SUMIF(tVMs[Cluster],A25,tVMs[Provisioned Space]))</f>
        <v/>
      </c>
      <c r="O25" s="36">
        <f>IF(A25="","",IF(F25&lt;0.2,"🔴 CPU critique",IF(K25&lt;0.2,"🔴 RAM critique",IF(F25&lt;0.3,"⚠️ CPU warn",IF(K25&lt;0.3,"⚠️ RAM warn","✅ OK")))))</f>
        <v/>
      </c>
    </row>
    <row r="26" ht="18" customHeight="1">
      <c r="A26" s="31">
        <f>IFERROR(INDEX(tHosts[Cluster],MATCH(0,COUNTIF($A$12:$A$25,tHosts[Cluster]),0)),"")</f>
        <v/>
      </c>
      <c r="B26" s="32">
        <f>IF(A26="","",IFERROR(INDEX(tHosts[ClusterDatacenter],MATCH(A26,tHosts[Cluster],0)),""))</f>
        <v/>
      </c>
      <c r="C26" s="33">
        <f>IF(A26="","",COUNTIF(tHosts[Cluster],A26))</f>
        <v/>
      </c>
      <c r="D26" s="33">
        <f>IF(A26="","",SUMIF(tHosts[Cluster],A26,tHosts[CPUs]))</f>
        <v/>
      </c>
      <c r="E26" s="34">
        <f>IF(A26="","",IFERROR(AVERAGEIF(tHosts[Cluster],A26,tHosts[Consumed CPU %]),0))</f>
        <v/>
      </c>
      <c r="F26" s="34">
        <f>IF(A26="","",IFERROR(AVERAGEIF(tHosts[Cluster],A26,tHosts[CPU Free %]),0))</f>
        <v/>
      </c>
      <c r="G26" s="32">
        <f>IF(A26="","",IF(F26&lt;0.2,"🔴 Critique",IF(F26&lt;0.3,"⚠️ Warning","✅ OK")))</f>
        <v/>
      </c>
      <c r="H26" s="33">
        <f>IF(A26="","",SUMIF(tHosts[Cluster],A26,tHosts[CPU free cores]))</f>
        <v/>
      </c>
      <c r="I26" s="33">
        <f>IF(A26="","",ROUND(SUMIF(tHosts[Cluster],A26,tHosts[Memory Size (MB)])/1024,0))</f>
        <v/>
      </c>
      <c r="J26" s="33">
        <f>IF(A26="","",ROUND(SUMIF(tHosts[Cluster],A26,tHosts[RAM])/1024,0))</f>
        <v/>
      </c>
      <c r="K26" s="34">
        <f>IF(A26="","",IFERROR(1-J26/I26,0))</f>
        <v/>
      </c>
      <c r="L26" s="32">
        <f>IF(A26="","",IF(K26&lt;0.2,"🔴 Critique",IF(K26&lt;0.3,"⚠️ Warning","✅ OK")))</f>
        <v/>
      </c>
      <c r="M26" s="33">
        <f>IF(A26="","",COUNTIF(tVMs[Cluster],A26))</f>
        <v/>
      </c>
      <c r="N26" s="33">
        <f>IF(A26="","",SUMIF(tVMs[Cluster],A26,tVMs[Provisioned Space]))</f>
        <v/>
      </c>
      <c r="O26" s="32">
        <f>IF(A26="","",IF(F26&lt;0.2,"🔴 CPU critique",IF(K26&lt;0.2,"🔴 RAM critique",IF(F26&lt;0.3,"⚠️ CPU warn",IF(K26&lt;0.3,"⚠️ RAM warn","✅ OK")))))</f>
        <v/>
      </c>
    </row>
    <row r="27" ht="18" customHeight="1">
      <c r="A27" s="35">
        <f>IFERROR(INDEX(tHosts[Cluster],MATCH(0,COUNTIF($A$12:$A$26,tHosts[Cluster]),0)),"")</f>
        <v/>
      </c>
      <c r="B27" s="36">
        <f>IF(A27="","",IFERROR(INDEX(tHosts[ClusterDatacenter],MATCH(A27,tHosts[Cluster],0)),""))</f>
        <v/>
      </c>
      <c r="C27" s="37">
        <f>IF(A27="","",COUNTIF(tHosts[Cluster],A27))</f>
        <v/>
      </c>
      <c r="D27" s="37">
        <f>IF(A27="","",SUMIF(tHosts[Cluster],A27,tHosts[CPUs]))</f>
        <v/>
      </c>
      <c r="E27" s="38">
        <f>IF(A27="","",IFERROR(AVERAGEIF(tHosts[Cluster],A27,tHosts[Consumed CPU %]),0))</f>
        <v/>
      </c>
      <c r="F27" s="38">
        <f>IF(A27="","",IFERROR(AVERAGEIF(tHosts[Cluster],A27,tHosts[CPU Free %]),0))</f>
        <v/>
      </c>
      <c r="G27" s="36">
        <f>IF(A27="","",IF(F27&lt;0.2,"🔴 Critique",IF(F27&lt;0.3,"⚠️ Warning","✅ OK")))</f>
        <v/>
      </c>
      <c r="H27" s="37">
        <f>IF(A27="","",SUMIF(tHosts[Cluster],A27,tHosts[CPU free cores]))</f>
        <v/>
      </c>
      <c r="I27" s="37">
        <f>IF(A27="","",ROUND(SUMIF(tHosts[Cluster],A27,tHosts[Memory Size (MB)])/1024,0))</f>
        <v/>
      </c>
      <c r="J27" s="37">
        <f>IF(A27="","",ROUND(SUMIF(tHosts[Cluster],A27,tHosts[RAM])/1024,0))</f>
        <v/>
      </c>
      <c r="K27" s="38">
        <f>IF(A27="","",IFERROR(1-J27/I27,0))</f>
        <v/>
      </c>
      <c r="L27" s="36">
        <f>IF(A27="","",IF(K27&lt;0.2,"🔴 Critique",IF(K27&lt;0.3,"⚠️ Warning","✅ OK")))</f>
        <v/>
      </c>
      <c r="M27" s="37">
        <f>IF(A27="","",COUNTIF(tVMs[Cluster],A27))</f>
        <v/>
      </c>
      <c r="N27" s="37">
        <f>IF(A27="","",SUMIF(tVMs[Cluster],A27,tVMs[Provisioned Space]))</f>
        <v/>
      </c>
      <c r="O27" s="36">
        <f>IF(A27="","",IF(F27&lt;0.2,"🔴 CPU critique",IF(K27&lt;0.2,"🔴 RAM critique",IF(F27&lt;0.3,"⚠️ CPU warn",IF(K27&lt;0.3,"⚠️ RAM warn","✅ OK")))))</f>
        <v/>
      </c>
    </row>
    <row r="28" ht="18" customHeight="1">
      <c r="A28" s="31">
        <f>IFERROR(INDEX(tHosts[Cluster],MATCH(0,COUNTIF($A$12:$A$27,tHosts[Cluster]),0)),"")</f>
        <v/>
      </c>
      <c r="B28" s="32">
        <f>IF(A28="","",IFERROR(INDEX(tHosts[ClusterDatacenter],MATCH(A28,tHosts[Cluster],0)),""))</f>
        <v/>
      </c>
      <c r="C28" s="33">
        <f>IF(A28="","",COUNTIF(tHosts[Cluster],A28))</f>
        <v/>
      </c>
      <c r="D28" s="33">
        <f>IF(A28="","",SUMIF(tHosts[Cluster],A28,tHosts[CPUs]))</f>
        <v/>
      </c>
      <c r="E28" s="34">
        <f>IF(A28="","",IFERROR(AVERAGEIF(tHosts[Cluster],A28,tHosts[Consumed CPU %]),0))</f>
        <v/>
      </c>
      <c r="F28" s="34">
        <f>IF(A28="","",IFERROR(AVERAGEIF(tHosts[Cluster],A28,tHosts[CPU Free %]),0))</f>
        <v/>
      </c>
      <c r="G28" s="32">
        <f>IF(A28="","",IF(F28&lt;0.2,"🔴 Critique",IF(F28&lt;0.3,"⚠️ Warning","✅ OK")))</f>
        <v/>
      </c>
      <c r="H28" s="33">
        <f>IF(A28="","",SUMIF(tHosts[Cluster],A28,tHosts[CPU free cores]))</f>
        <v/>
      </c>
      <c r="I28" s="33">
        <f>IF(A28="","",ROUND(SUMIF(tHosts[Cluster],A28,tHosts[Memory Size (MB)])/1024,0))</f>
        <v/>
      </c>
      <c r="J28" s="33">
        <f>IF(A28="","",ROUND(SUMIF(tHosts[Cluster],A28,tHosts[RAM])/1024,0))</f>
        <v/>
      </c>
      <c r="K28" s="34">
        <f>IF(A28="","",IFERROR(1-J28/I28,0))</f>
        <v/>
      </c>
      <c r="L28" s="32">
        <f>IF(A28="","",IF(K28&lt;0.2,"🔴 Critique",IF(K28&lt;0.3,"⚠️ Warning","✅ OK")))</f>
        <v/>
      </c>
      <c r="M28" s="33">
        <f>IF(A28="","",COUNTIF(tVMs[Cluster],A28))</f>
        <v/>
      </c>
      <c r="N28" s="33">
        <f>IF(A28="","",SUMIF(tVMs[Cluster],A28,tVMs[Provisioned Space]))</f>
        <v/>
      </c>
      <c r="O28" s="32">
        <f>IF(A28="","",IF(F28&lt;0.2,"🔴 CPU critique",IF(K28&lt;0.2,"🔴 RAM critique",IF(F28&lt;0.3,"⚠️ CPU warn",IF(K28&lt;0.3,"⚠️ RAM warn","✅ OK")))))</f>
        <v/>
      </c>
    </row>
    <row r="29" ht="18" customHeight="1">
      <c r="A29" s="35">
        <f>IFERROR(INDEX(tHosts[Cluster],MATCH(0,COUNTIF($A$12:$A$28,tHosts[Cluster]),0)),"")</f>
        <v/>
      </c>
      <c r="B29" s="36">
        <f>IF(A29="","",IFERROR(INDEX(tHosts[ClusterDatacenter],MATCH(A29,tHosts[Cluster],0)),""))</f>
        <v/>
      </c>
      <c r="C29" s="37">
        <f>IF(A29="","",COUNTIF(tHosts[Cluster],A29))</f>
        <v/>
      </c>
      <c r="D29" s="37">
        <f>IF(A29="","",SUMIF(tHosts[Cluster],A29,tHosts[CPUs]))</f>
        <v/>
      </c>
      <c r="E29" s="38">
        <f>IF(A29="","",IFERROR(AVERAGEIF(tHosts[Cluster],A29,tHosts[Consumed CPU %]),0))</f>
        <v/>
      </c>
      <c r="F29" s="38">
        <f>IF(A29="","",IFERROR(AVERAGEIF(tHosts[Cluster],A29,tHosts[CPU Free %]),0))</f>
        <v/>
      </c>
      <c r="G29" s="36">
        <f>IF(A29="","",IF(F29&lt;0.2,"🔴 Critique",IF(F29&lt;0.3,"⚠️ Warning","✅ OK")))</f>
        <v/>
      </c>
      <c r="H29" s="37">
        <f>IF(A29="","",SUMIF(tHosts[Cluster],A29,tHosts[CPU free cores]))</f>
        <v/>
      </c>
      <c r="I29" s="37">
        <f>IF(A29="","",ROUND(SUMIF(tHosts[Cluster],A29,tHosts[Memory Size (MB)])/1024,0))</f>
        <v/>
      </c>
      <c r="J29" s="37">
        <f>IF(A29="","",ROUND(SUMIF(tHosts[Cluster],A29,tHosts[RAM])/1024,0))</f>
        <v/>
      </c>
      <c r="K29" s="38">
        <f>IF(A29="","",IFERROR(1-J29/I29,0))</f>
        <v/>
      </c>
      <c r="L29" s="36">
        <f>IF(A29="","",IF(K29&lt;0.2,"🔴 Critique",IF(K29&lt;0.3,"⚠️ Warning","✅ OK")))</f>
        <v/>
      </c>
      <c r="M29" s="37">
        <f>IF(A29="","",COUNTIF(tVMs[Cluster],A29))</f>
        <v/>
      </c>
      <c r="N29" s="37">
        <f>IF(A29="","",SUMIF(tVMs[Cluster],A29,tVMs[Provisioned Space]))</f>
        <v/>
      </c>
      <c r="O29" s="36">
        <f>IF(A29="","",IF(F29&lt;0.2,"🔴 CPU critique",IF(K29&lt;0.2,"🔴 RAM critique",IF(F29&lt;0.3,"⚠️ CPU warn",IF(K29&lt;0.3,"⚠️ RAM warn","✅ OK")))))</f>
        <v/>
      </c>
    </row>
    <row r="30" ht="18" customHeight="1">
      <c r="A30" s="31">
        <f>IFERROR(INDEX(tHosts[Cluster],MATCH(0,COUNTIF($A$12:$A$29,tHosts[Cluster]),0)),"")</f>
        <v/>
      </c>
      <c r="B30" s="32">
        <f>IF(A30="","",IFERROR(INDEX(tHosts[ClusterDatacenter],MATCH(A30,tHosts[Cluster],0)),""))</f>
        <v/>
      </c>
      <c r="C30" s="33">
        <f>IF(A30="","",COUNTIF(tHosts[Cluster],A30))</f>
        <v/>
      </c>
      <c r="D30" s="33">
        <f>IF(A30="","",SUMIF(tHosts[Cluster],A30,tHosts[CPUs]))</f>
        <v/>
      </c>
      <c r="E30" s="34">
        <f>IF(A30="","",IFERROR(AVERAGEIF(tHosts[Cluster],A30,tHosts[Consumed CPU %]),0))</f>
        <v/>
      </c>
      <c r="F30" s="34">
        <f>IF(A30="","",IFERROR(AVERAGEIF(tHosts[Cluster],A30,tHosts[CPU Free %]),0))</f>
        <v/>
      </c>
      <c r="G30" s="32">
        <f>IF(A30="","",IF(F30&lt;0.2,"🔴 Critique",IF(F30&lt;0.3,"⚠️ Warning","✅ OK")))</f>
        <v/>
      </c>
      <c r="H30" s="33">
        <f>IF(A30="","",SUMIF(tHosts[Cluster],A30,tHosts[CPU free cores]))</f>
        <v/>
      </c>
      <c r="I30" s="33">
        <f>IF(A30="","",ROUND(SUMIF(tHosts[Cluster],A30,tHosts[Memory Size (MB)])/1024,0))</f>
        <v/>
      </c>
      <c r="J30" s="33">
        <f>IF(A30="","",ROUND(SUMIF(tHosts[Cluster],A30,tHosts[RAM])/1024,0))</f>
        <v/>
      </c>
      <c r="K30" s="34">
        <f>IF(A30="","",IFERROR(1-J30/I30,0))</f>
        <v/>
      </c>
      <c r="L30" s="32">
        <f>IF(A30="","",IF(K30&lt;0.2,"🔴 Critique",IF(K30&lt;0.3,"⚠️ Warning","✅ OK")))</f>
        <v/>
      </c>
      <c r="M30" s="33">
        <f>IF(A30="","",COUNTIF(tVMs[Cluster],A30))</f>
        <v/>
      </c>
      <c r="N30" s="33">
        <f>IF(A30="","",SUMIF(tVMs[Cluster],A30,tVMs[Provisioned Space]))</f>
        <v/>
      </c>
      <c r="O30" s="32">
        <f>IF(A30="","",IF(F30&lt;0.2,"🔴 CPU critique",IF(K30&lt;0.2,"🔴 RAM critique",IF(F30&lt;0.3,"⚠️ CPU warn",IF(K30&lt;0.3,"⚠️ RAM warn","✅ OK")))))</f>
        <v/>
      </c>
    </row>
    <row r="31" ht="18" customHeight="1">
      <c r="A31" s="35">
        <f>IFERROR(INDEX(tHosts[Cluster],MATCH(0,COUNTIF($A$12:$A$30,tHosts[Cluster]),0)),"")</f>
        <v/>
      </c>
      <c r="B31" s="36">
        <f>IF(A31="","",IFERROR(INDEX(tHosts[ClusterDatacenter],MATCH(A31,tHosts[Cluster],0)),""))</f>
        <v/>
      </c>
      <c r="C31" s="37">
        <f>IF(A31="","",COUNTIF(tHosts[Cluster],A31))</f>
        <v/>
      </c>
      <c r="D31" s="37">
        <f>IF(A31="","",SUMIF(tHosts[Cluster],A31,tHosts[CPUs]))</f>
        <v/>
      </c>
      <c r="E31" s="38">
        <f>IF(A31="","",IFERROR(AVERAGEIF(tHosts[Cluster],A31,tHosts[Consumed CPU %]),0))</f>
        <v/>
      </c>
      <c r="F31" s="38">
        <f>IF(A31="","",IFERROR(AVERAGEIF(tHosts[Cluster],A31,tHosts[CPU Free %]),0))</f>
        <v/>
      </c>
      <c r="G31" s="36">
        <f>IF(A31="","",IF(F31&lt;0.2,"🔴 Critique",IF(F31&lt;0.3,"⚠️ Warning","✅ OK")))</f>
        <v/>
      </c>
      <c r="H31" s="37">
        <f>IF(A31="","",SUMIF(tHosts[Cluster],A31,tHosts[CPU free cores]))</f>
        <v/>
      </c>
      <c r="I31" s="37">
        <f>IF(A31="","",ROUND(SUMIF(tHosts[Cluster],A31,tHosts[Memory Size (MB)])/1024,0))</f>
        <v/>
      </c>
      <c r="J31" s="37">
        <f>IF(A31="","",ROUND(SUMIF(tHosts[Cluster],A31,tHosts[RAM])/1024,0))</f>
        <v/>
      </c>
      <c r="K31" s="38">
        <f>IF(A31="","",IFERROR(1-J31/I31,0))</f>
        <v/>
      </c>
      <c r="L31" s="36">
        <f>IF(A31="","",IF(K31&lt;0.2,"🔴 Critique",IF(K31&lt;0.3,"⚠️ Warning","✅ OK")))</f>
        <v/>
      </c>
      <c r="M31" s="37">
        <f>IF(A31="","",COUNTIF(tVMs[Cluster],A31))</f>
        <v/>
      </c>
      <c r="N31" s="37">
        <f>IF(A31="","",SUMIF(tVMs[Cluster],A31,tVMs[Provisioned Space]))</f>
        <v/>
      </c>
      <c r="O31" s="36">
        <f>IF(A31="","",IF(F31&lt;0.2,"🔴 CPU critique",IF(K31&lt;0.2,"🔴 RAM critique",IF(F31&lt;0.3,"⚠️ CPU warn",IF(K31&lt;0.3,"⚠️ RAM warn","✅ OK")))))</f>
        <v/>
      </c>
    </row>
    <row r="32" ht="18" customHeight="1">
      <c r="A32" s="31">
        <f>IFERROR(INDEX(tHosts[Cluster],MATCH(0,COUNTIF($A$12:$A$31,tHosts[Cluster]),0)),"")</f>
        <v/>
      </c>
      <c r="B32" s="32">
        <f>IF(A32="","",IFERROR(INDEX(tHosts[ClusterDatacenter],MATCH(A32,tHosts[Cluster],0)),""))</f>
        <v/>
      </c>
      <c r="C32" s="33">
        <f>IF(A32="","",COUNTIF(tHosts[Cluster],A32))</f>
        <v/>
      </c>
      <c r="D32" s="33">
        <f>IF(A32="","",SUMIF(tHosts[Cluster],A32,tHosts[CPUs]))</f>
        <v/>
      </c>
      <c r="E32" s="34">
        <f>IF(A32="","",IFERROR(AVERAGEIF(tHosts[Cluster],A32,tHosts[Consumed CPU %]),0))</f>
        <v/>
      </c>
      <c r="F32" s="34">
        <f>IF(A32="","",IFERROR(AVERAGEIF(tHosts[Cluster],A32,tHosts[CPU Free %]),0))</f>
        <v/>
      </c>
      <c r="G32" s="32">
        <f>IF(A32="","",IF(F32&lt;0.2,"🔴 Critique",IF(F32&lt;0.3,"⚠️ Warning","✅ OK")))</f>
        <v/>
      </c>
      <c r="H32" s="33">
        <f>IF(A32="","",SUMIF(tHosts[Cluster],A32,tHosts[CPU free cores]))</f>
        <v/>
      </c>
      <c r="I32" s="33">
        <f>IF(A32="","",ROUND(SUMIF(tHosts[Cluster],A32,tHosts[Memory Size (MB)])/1024,0))</f>
        <v/>
      </c>
      <c r="J32" s="33">
        <f>IF(A32="","",ROUND(SUMIF(tHosts[Cluster],A32,tHosts[RAM])/1024,0))</f>
        <v/>
      </c>
      <c r="K32" s="34">
        <f>IF(A32="","",IFERROR(1-J32/I32,0))</f>
        <v/>
      </c>
      <c r="L32" s="32">
        <f>IF(A32="","",IF(K32&lt;0.2,"🔴 Critique",IF(K32&lt;0.3,"⚠️ Warning","✅ OK")))</f>
        <v/>
      </c>
      <c r="M32" s="33">
        <f>IF(A32="","",COUNTIF(tVMs[Cluster],A32))</f>
        <v/>
      </c>
      <c r="N32" s="33">
        <f>IF(A32="","",SUMIF(tVMs[Cluster],A32,tVMs[Provisioned Space]))</f>
        <v/>
      </c>
      <c r="O32" s="32">
        <f>IF(A32="","",IF(F32&lt;0.2,"🔴 CPU critique",IF(K32&lt;0.2,"🔴 RAM critique",IF(F32&lt;0.3,"⚠️ CPU warn",IF(K32&lt;0.3,"⚠️ RAM warn","✅ OK")))))</f>
        <v/>
      </c>
    </row>
    <row r="33" ht="18" customHeight="1">
      <c r="A33" s="35">
        <f>IFERROR(INDEX(tHosts[Cluster],MATCH(0,COUNTIF($A$12:$A$32,tHosts[Cluster]),0)),"")</f>
        <v/>
      </c>
      <c r="B33" s="36">
        <f>IF(A33="","",IFERROR(INDEX(tHosts[ClusterDatacenter],MATCH(A33,tHosts[Cluster],0)),""))</f>
        <v/>
      </c>
      <c r="C33" s="37">
        <f>IF(A33="","",COUNTIF(tHosts[Cluster],A33))</f>
        <v/>
      </c>
      <c r="D33" s="37">
        <f>IF(A33="","",SUMIF(tHosts[Cluster],A33,tHosts[CPUs]))</f>
        <v/>
      </c>
      <c r="E33" s="38">
        <f>IF(A33="","",IFERROR(AVERAGEIF(tHosts[Cluster],A33,tHosts[Consumed CPU %]),0))</f>
        <v/>
      </c>
      <c r="F33" s="38">
        <f>IF(A33="","",IFERROR(AVERAGEIF(tHosts[Cluster],A33,tHosts[CPU Free %]),0))</f>
        <v/>
      </c>
      <c r="G33" s="36">
        <f>IF(A33="","",IF(F33&lt;0.2,"🔴 Critique",IF(F33&lt;0.3,"⚠️ Warning","✅ OK")))</f>
        <v/>
      </c>
      <c r="H33" s="37">
        <f>IF(A33="","",SUMIF(tHosts[Cluster],A33,tHosts[CPU free cores]))</f>
        <v/>
      </c>
      <c r="I33" s="37">
        <f>IF(A33="","",ROUND(SUMIF(tHosts[Cluster],A33,tHosts[Memory Size (MB)])/1024,0))</f>
        <v/>
      </c>
      <c r="J33" s="37">
        <f>IF(A33="","",ROUND(SUMIF(tHosts[Cluster],A33,tHosts[RAM])/1024,0))</f>
        <v/>
      </c>
      <c r="K33" s="38">
        <f>IF(A33="","",IFERROR(1-J33/I33,0))</f>
        <v/>
      </c>
      <c r="L33" s="36">
        <f>IF(A33="","",IF(K33&lt;0.2,"🔴 Critique",IF(K33&lt;0.3,"⚠️ Warning","✅ OK")))</f>
        <v/>
      </c>
      <c r="M33" s="37">
        <f>IF(A33="","",COUNTIF(tVMs[Cluster],A33))</f>
        <v/>
      </c>
      <c r="N33" s="37">
        <f>IF(A33="","",SUMIF(tVMs[Cluster],A33,tVMs[Provisioned Space]))</f>
        <v/>
      </c>
      <c r="O33" s="36">
        <f>IF(A33="","",IF(F33&lt;0.2,"🔴 CPU critique",IF(K33&lt;0.2,"🔴 RAM critique",IF(F33&lt;0.3,"⚠️ CPU warn",IF(K33&lt;0.3,"⚠️ RAM warn","✅ OK")))))</f>
        <v/>
      </c>
    </row>
    <row r="34" ht="18" customHeight="1">
      <c r="A34" s="31">
        <f>IFERROR(INDEX(tHosts[Cluster],MATCH(0,COUNTIF($A$12:$A$33,tHosts[Cluster]),0)),"")</f>
        <v/>
      </c>
      <c r="B34" s="32">
        <f>IF(A34="","",IFERROR(INDEX(tHosts[ClusterDatacenter],MATCH(A34,tHosts[Cluster],0)),""))</f>
        <v/>
      </c>
      <c r="C34" s="33">
        <f>IF(A34="","",COUNTIF(tHosts[Cluster],A34))</f>
        <v/>
      </c>
      <c r="D34" s="33">
        <f>IF(A34="","",SUMIF(tHosts[Cluster],A34,tHosts[CPUs]))</f>
        <v/>
      </c>
      <c r="E34" s="34">
        <f>IF(A34="","",IFERROR(AVERAGEIF(tHosts[Cluster],A34,tHosts[Consumed CPU %]),0))</f>
        <v/>
      </c>
      <c r="F34" s="34">
        <f>IF(A34="","",IFERROR(AVERAGEIF(tHosts[Cluster],A34,tHosts[CPU Free %]),0))</f>
        <v/>
      </c>
      <c r="G34" s="32">
        <f>IF(A34="","",IF(F34&lt;0.2,"🔴 Critique",IF(F34&lt;0.3,"⚠️ Warning","✅ OK")))</f>
        <v/>
      </c>
      <c r="H34" s="33">
        <f>IF(A34="","",SUMIF(tHosts[Cluster],A34,tHosts[CPU free cores]))</f>
        <v/>
      </c>
      <c r="I34" s="33">
        <f>IF(A34="","",ROUND(SUMIF(tHosts[Cluster],A34,tHosts[Memory Size (MB)])/1024,0))</f>
        <v/>
      </c>
      <c r="J34" s="33">
        <f>IF(A34="","",ROUND(SUMIF(tHosts[Cluster],A34,tHosts[RAM])/1024,0))</f>
        <v/>
      </c>
      <c r="K34" s="34">
        <f>IF(A34="","",IFERROR(1-J34/I34,0))</f>
        <v/>
      </c>
      <c r="L34" s="32">
        <f>IF(A34="","",IF(K34&lt;0.2,"🔴 Critique",IF(K34&lt;0.3,"⚠️ Warning","✅ OK")))</f>
        <v/>
      </c>
      <c r="M34" s="33">
        <f>IF(A34="","",COUNTIF(tVMs[Cluster],A34))</f>
        <v/>
      </c>
      <c r="N34" s="33">
        <f>IF(A34="","",SUMIF(tVMs[Cluster],A34,tVMs[Provisioned Space]))</f>
        <v/>
      </c>
      <c r="O34" s="32">
        <f>IF(A34="","",IF(F34&lt;0.2,"🔴 CPU critique",IF(K34&lt;0.2,"🔴 RAM critique",IF(F34&lt;0.3,"⚠️ CPU warn",IF(K34&lt;0.3,"⚠️ RAM warn","✅ OK")))))</f>
        <v/>
      </c>
    </row>
    <row r="35" ht="18" customHeight="1">
      <c r="A35" s="35">
        <f>IFERROR(INDEX(tHosts[Cluster],MATCH(0,COUNTIF($A$12:$A$34,tHosts[Cluster]),0)),"")</f>
        <v/>
      </c>
      <c r="B35" s="36">
        <f>IF(A35="","",IFERROR(INDEX(tHosts[ClusterDatacenter],MATCH(A35,tHosts[Cluster],0)),""))</f>
        <v/>
      </c>
      <c r="C35" s="37">
        <f>IF(A35="","",COUNTIF(tHosts[Cluster],A35))</f>
        <v/>
      </c>
      <c r="D35" s="37">
        <f>IF(A35="","",SUMIF(tHosts[Cluster],A35,tHosts[CPUs]))</f>
        <v/>
      </c>
      <c r="E35" s="38">
        <f>IF(A35="","",IFERROR(AVERAGEIF(tHosts[Cluster],A35,tHosts[Consumed CPU %]),0))</f>
        <v/>
      </c>
      <c r="F35" s="38">
        <f>IF(A35="","",IFERROR(AVERAGEIF(tHosts[Cluster],A35,tHosts[CPU Free %]),0))</f>
        <v/>
      </c>
      <c r="G35" s="36">
        <f>IF(A35="","",IF(F35&lt;0.2,"🔴 Critique",IF(F35&lt;0.3,"⚠️ Warning","✅ OK")))</f>
        <v/>
      </c>
      <c r="H35" s="37">
        <f>IF(A35="","",SUMIF(tHosts[Cluster],A35,tHosts[CPU free cores]))</f>
        <v/>
      </c>
      <c r="I35" s="37">
        <f>IF(A35="","",ROUND(SUMIF(tHosts[Cluster],A35,tHosts[Memory Size (MB)])/1024,0))</f>
        <v/>
      </c>
      <c r="J35" s="37">
        <f>IF(A35="","",ROUND(SUMIF(tHosts[Cluster],A35,tHosts[RAM])/1024,0))</f>
        <v/>
      </c>
      <c r="K35" s="38">
        <f>IF(A35="","",IFERROR(1-J35/I35,0))</f>
        <v/>
      </c>
      <c r="L35" s="36">
        <f>IF(A35="","",IF(K35&lt;0.2,"🔴 Critique",IF(K35&lt;0.3,"⚠️ Warning","✅ OK")))</f>
        <v/>
      </c>
      <c r="M35" s="37">
        <f>IF(A35="","",COUNTIF(tVMs[Cluster],A35))</f>
        <v/>
      </c>
      <c r="N35" s="37">
        <f>IF(A35="","",SUMIF(tVMs[Cluster],A35,tVMs[Provisioned Space]))</f>
        <v/>
      </c>
      <c r="O35" s="36">
        <f>IF(A35="","",IF(F35&lt;0.2,"🔴 CPU critique",IF(K35&lt;0.2,"🔴 RAM critique",IF(F35&lt;0.3,"⚠️ CPU warn",IF(K35&lt;0.3,"⚠️ RAM warn","✅ OK")))))</f>
        <v/>
      </c>
    </row>
    <row r="36" ht="18" customHeight="1">
      <c r="A36" s="31">
        <f>IFERROR(INDEX(tHosts[Cluster],MATCH(0,COUNTIF($A$12:$A$35,tHosts[Cluster]),0)),"")</f>
        <v/>
      </c>
      <c r="B36" s="32">
        <f>IF(A36="","",IFERROR(INDEX(tHosts[ClusterDatacenter],MATCH(A36,tHosts[Cluster],0)),""))</f>
        <v/>
      </c>
      <c r="C36" s="33">
        <f>IF(A36="","",COUNTIF(tHosts[Cluster],A36))</f>
        <v/>
      </c>
      <c r="D36" s="33">
        <f>IF(A36="","",SUMIF(tHosts[Cluster],A36,tHosts[CPUs]))</f>
        <v/>
      </c>
      <c r="E36" s="34">
        <f>IF(A36="","",IFERROR(AVERAGEIF(tHosts[Cluster],A36,tHosts[Consumed CPU %]),0))</f>
        <v/>
      </c>
      <c r="F36" s="34">
        <f>IF(A36="","",IFERROR(AVERAGEIF(tHosts[Cluster],A36,tHosts[CPU Free %]),0))</f>
        <v/>
      </c>
      <c r="G36" s="32">
        <f>IF(A36="","",IF(F36&lt;0.2,"🔴 Critique",IF(F36&lt;0.3,"⚠️ Warning","✅ OK")))</f>
        <v/>
      </c>
      <c r="H36" s="33">
        <f>IF(A36="","",SUMIF(tHosts[Cluster],A36,tHosts[CPU free cores]))</f>
        <v/>
      </c>
      <c r="I36" s="33">
        <f>IF(A36="","",ROUND(SUMIF(tHosts[Cluster],A36,tHosts[Memory Size (MB)])/1024,0))</f>
        <v/>
      </c>
      <c r="J36" s="33">
        <f>IF(A36="","",ROUND(SUMIF(tHosts[Cluster],A36,tHosts[RAM])/1024,0))</f>
        <v/>
      </c>
      <c r="K36" s="34">
        <f>IF(A36="","",IFERROR(1-J36/I36,0))</f>
        <v/>
      </c>
      <c r="L36" s="32">
        <f>IF(A36="","",IF(K36&lt;0.2,"🔴 Critique",IF(K36&lt;0.3,"⚠️ Warning","✅ OK")))</f>
        <v/>
      </c>
      <c r="M36" s="33">
        <f>IF(A36="","",COUNTIF(tVMs[Cluster],A36))</f>
        <v/>
      </c>
      <c r="N36" s="33">
        <f>IF(A36="","",SUMIF(tVMs[Cluster],A36,tVMs[Provisioned Space]))</f>
        <v/>
      </c>
      <c r="O36" s="32">
        <f>IF(A36="","",IF(F36&lt;0.2,"🔴 CPU critique",IF(K36&lt;0.2,"🔴 RAM critique",IF(F36&lt;0.3,"⚠️ CPU warn",IF(K36&lt;0.3,"⚠️ RAM warn","✅ OK")))))</f>
        <v/>
      </c>
    </row>
    <row r="37" ht="18" customHeight="1">
      <c r="A37" s="35">
        <f>IFERROR(INDEX(tHosts[Cluster],MATCH(0,COUNTIF($A$12:$A$36,tHosts[Cluster]),0)),"")</f>
        <v/>
      </c>
      <c r="B37" s="36">
        <f>IF(A37="","",IFERROR(INDEX(tHosts[ClusterDatacenter],MATCH(A37,tHosts[Cluster],0)),""))</f>
        <v/>
      </c>
      <c r="C37" s="37">
        <f>IF(A37="","",COUNTIF(tHosts[Cluster],A37))</f>
        <v/>
      </c>
      <c r="D37" s="37">
        <f>IF(A37="","",SUMIF(tHosts[Cluster],A37,tHosts[CPUs]))</f>
        <v/>
      </c>
      <c r="E37" s="38">
        <f>IF(A37="","",IFERROR(AVERAGEIF(tHosts[Cluster],A37,tHosts[Consumed CPU %]),0))</f>
        <v/>
      </c>
      <c r="F37" s="38">
        <f>IF(A37="","",IFERROR(AVERAGEIF(tHosts[Cluster],A37,tHosts[CPU Free %]),0))</f>
        <v/>
      </c>
      <c r="G37" s="36">
        <f>IF(A37="","",IF(F37&lt;0.2,"🔴 Critique",IF(F37&lt;0.3,"⚠️ Warning","✅ OK")))</f>
        <v/>
      </c>
      <c r="H37" s="37">
        <f>IF(A37="","",SUMIF(tHosts[Cluster],A37,tHosts[CPU free cores]))</f>
        <v/>
      </c>
      <c r="I37" s="37">
        <f>IF(A37="","",ROUND(SUMIF(tHosts[Cluster],A37,tHosts[Memory Size (MB)])/1024,0))</f>
        <v/>
      </c>
      <c r="J37" s="37">
        <f>IF(A37="","",ROUND(SUMIF(tHosts[Cluster],A37,tHosts[RAM])/1024,0))</f>
        <v/>
      </c>
      <c r="K37" s="38">
        <f>IF(A37="","",IFERROR(1-J37/I37,0))</f>
        <v/>
      </c>
      <c r="L37" s="36">
        <f>IF(A37="","",IF(K37&lt;0.2,"🔴 Critique",IF(K37&lt;0.3,"⚠️ Warning","✅ OK")))</f>
        <v/>
      </c>
      <c r="M37" s="37">
        <f>IF(A37="","",COUNTIF(tVMs[Cluster],A37))</f>
        <v/>
      </c>
      <c r="N37" s="37">
        <f>IF(A37="","",SUMIF(tVMs[Cluster],A37,tVMs[Provisioned Space]))</f>
        <v/>
      </c>
      <c r="O37" s="36">
        <f>IF(A37="","",IF(F37&lt;0.2,"🔴 CPU critique",IF(K37&lt;0.2,"🔴 RAM critique",IF(F37&lt;0.3,"⚠️ CPU warn",IF(K37&lt;0.3,"⚠️ RAM warn","✅ OK")))))</f>
        <v/>
      </c>
    </row>
    <row r="38" ht="18" customHeight="1">
      <c r="A38" s="31">
        <f>IFERROR(INDEX(tHosts[Cluster],MATCH(0,COUNTIF($A$12:$A$37,tHosts[Cluster]),0)),"")</f>
        <v/>
      </c>
      <c r="B38" s="32">
        <f>IF(A38="","",IFERROR(INDEX(tHosts[ClusterDatacenter],MATCH(A38,tHosts[Cluster],0)),""))</f>
        <v/>
      </c>
      <c r="C38" s="33">
        <f>IF(A38="","",COUNTIF(tHosts[Cluster],A38))</f>
        <v/>
      </c>
      <c r="D38" s="33">
        <f>IF(A38="","",SUMIF(tHosts[Cluster],A38,tHosts[CPUs]))</f>
        <v/>
      </c>
      <c r="E38" s="34">
        <f>IF(A38="","",IFERROR(AVERAGEIF(tHosts[Cluster],A38,tHosts[Consumed CPU %]),0))</f>
        <v/>
      </c>
      <c r="F38" s="34">
        <f>IF(A38="","",IFERROR(AVERAGEIF(tHosts[Cluster],A38,tHosts[CPU Free %]),0))</f>
        <v/>
      </c>
      <c r="G38" s="32">
        <f>IF(A38="","",IF(F38&lt;0.2,"🔴 Critique",IF(F38&lt;0.3,"⚠️ Warning","✅ OK")))</f>
        <v/>
      </c>
      <c r="H38" s="33">
        <f>IF(A38="","",SUMIF(tHosts[Cluster],A38,tHosts[CPU free cores]))</f>
        <v/>
      </c>
      <c r="I38" s="33">
        <f>IF(A38="","",ROUND(SUMIF(tHosts[Cluster],A38,tHosts[Memory Size (MB)])/1024,0))</f>
        <v/>
      </c>
      <c r="J38" s="33">
        <f>IF(A38="","",ROUND(SUMIF(tHosts[Cluster],A38,tHosts[RAM])/1024,0))</f>
        <v/>
      </c>
      <c r="K38" s="34">
        <f>IF(A38="","",IFERROR(1-J38/I38,0))</f>
        <v/>
      </c>
      <c r="L38" s="32">
        <f>IF(A38="","",IF(K38&lt;0.2,"🔴 Critique",IF(K38&lt;0.3,"⚠️ Warning","✅ OK")))</f>
        <v/>
      </c>
      <c r="M38" s="33">
        <f>IF(A38="","",COUNTIF(tVMs[Cluster],A38))</f>
        <v/>
      </c>
      <c r="N38" s="33">
        <f>IF(A38="","",SUMIF(tVMs[Cluster],A38,tVMs[Provisioned Space]))</f>
        <v/>
      </c>
      <c r="O38" s="32">
        <f>IF(A38="","",IF(F38&lt;0.2,"🔴 CPU critique",IF(K38&lt;0.2,"🔴 RAM critique",IF(F38&lt;0.3,"⚠️ CPU warn",IF(K38&lt;0.3,"⚠️ RAM warn","✅ OK")))))</f>
        <v/>
      </c>
    </row>
    <row r="39" ht="18" customHeight="1">
      <c r="A39" s="35">
        <f>IFERROR(INDEX(tHosts[Cluster],MATCH(0,COUNTIF($A$12:$A$38,tHosts[Cluster]),0)),"")</f>
        <v/>
      </c>
      <c r="B39" s="36">
        <f>IF(A39="","",IFERROR(INDEX(tHosts[ClusterDatacenter],MATCH(A39,tHosts[Cluster],0)),""))</f>
        <v/>
      </c>
      <c r="C39" s="37">
        <f>IF(A39="","",COUNTIF(tHosts[Cluster],A39))</f>
        <v/>
      </c>
      <c r="D39" s="37">
        <f>IF(A39="","",SUMIF(tHosts[Cluster],A39,tHosts[CPUs]))</f>
        <v/>
      </c>
      <c r="E39" s="38">
        <f>IF(A39="","",IFERROR(AVERAGEIF(tHosts[Cluster],A39,tHosts[Consumed CPU %]),0))</f>
        <v/>
      </c>
      <c r="F39" s="38">
        <f>IF(A39="","",IFERROR(AVERAGEIF(tHosts[Cluster],A39,tHosts[CPU Free %]),0))</f>
        <v/>
      </c>
      <c r="G39" s="36">
        <f>IF(A39="","",IF(F39&lt;0.2,"🔴 Critique",IF(F39&lt;0.3,"⚠️ Warning","✅ OK")))</f>
        <v/>
      </c>
      <c r="H39" s="37">
        <f>IF(A39="","",SUMIF(tHosts[Cluster],A39,tHosts[CPU free cores]))</f>
        <v/>
      </c>
      <c r="I39" s="37">
        <f>IF(A39="","",ROUND(SUMIF(tHosts[Cluster],A39,tHosts[Memory Size (MB)])/1024,0))</f>
        <v/>
      </c>
      <c r="J39" s="37">
        <f>IF(A39="","",ROUND(SUMIF(tHosts[Cluster],A39,tHosts[RAM])/1024,0))</f>
        <v/>
      </c>
      <c r="K39" s="38">
        <f>IF(A39="","",IFERROR(1-J39/I39,0))</f>
        <v/>
      </c>
      <c r="L39" s="36">
        <f>IF(A39="","",IF(K39&lt;0.2,"🔴 Critique",IF(K39&lt;0.3,"⚠️ Warning","✅ OK")))</f>
        <v/>
      </c>
      <c r="M39" s="37">
        <f>IF(A39="","",COUNTIF(tVMs[Cluster],A39))</f>
        <v/>
      </c>
      <c r="N39" s="37">
        <f>IF(A39="","",SUMIF(tVMs[Cluster],A39,tVMs[Provisioned Space]))</f>
        <v/>
      </c>
      <c r="O39" s="36">
        <f>IF(A39="","",IF(F39&lt;0.2,"🔴 CPU critique",IF(K39&lt;0.2,"🔴 RAM critique",IF(F39&lt;0.3,"⚠️ CPU warn",IF(K39&lt;0.3,"⚠️ RAM warn","✅ OK")))))</f>
        <v/>
      </c>
    </row>
    <row r="40" ht="18" customHeight="1">
      <c r="A40" s="31">
        <f>IFERROR(INDEX(tHosts[Cluster],MATCH(0,COUNTIF($A$12:$A$39,tHosts[Cluster]),0)),"")</f>
        <v/>
      </c>
      <c r="B40" s="32">
        <f>IF(A40="","",IFERROR(INDEX(tHosts[ClusterDatacenter],MATCH(A40,tHosts[Cluster],0)),""))</f>
        <v/>
      </c>
      <c r="C40" s="33">
        <f>IF(A40="","",COUNTIF(tHosts[Cluster],A40))</f>
        <v/>
      </c>
      <c r="D40" s="33">
        <f>IF(A40="","",SUMIF(tHosts[Cluster],A40,tHosts[CPUs]))</f>
        <v/>
      </c>
      <c r="E40" s="34">
        <f>IF(A40="","",IFERROR(AVERAGEIF(tHosts[Cluster],A40,tHosts[Consumed CPU %]),0))</f>
        <v/>
      </c>
      <c r="F40" s="34">
        <f>IF(A40="","",IFERROR(AVERAGEIF(tHosts[Cluster],A40,tHosts[CPU Free %]),0))</f>
        <v/>
      </c>
      <c r="G40" s="32">
        <f>IF(A40="","",IF(F40&lt;0.2,"🔴 Critique",IF(F40&lt;0.3,"⚠️ Warning","✅ OK")))</f>
        <v/>
      </c>
      <c r="H40" s="33">
        <f>IF(A40="","",SUMIF(tHosts[Cluster],A40,tHosts[CPU free cores]))</f>
        <v/>
      </c>
      <c r="I40" s="33">
        <f>IF(A40="","",ROUND(SUMIF(tHosts[Cluster],A40,tHosts[Memory Size (MB)])/1024,0))</f>
        <v/>
      </c>
      <c r="J40" s="33">
        <f>IF(A40="","",ROUND(SUMIF(tHosts[Cluster],A40,tHosts[RAM])/1024,0))</f>
        <v/>
      </c>
      <c r="K40" s="34">
        <f>IF(A40="","",IFERROR(1-J40/I40,0))</f>
        <v/>
      </c>
      <c r="L40" s="32">
        <f>IF(A40="","",IF(K40&lt;0.2,"🔴 Critique",IF(K40&lt;0.3,"⚠️ Warning","✅ OK")))</f>
        <v/>
      </c>
      <c r="M40" s="33">
        <f>IF(A40="","",COUNTIF(tVMs[Cluster],A40))</f>
        <v/>
      </c>
      <c r="N40" s="33">
        <f>IF(A40="","",SUMIF(tVMs[Cluster],A40,tVMs[Provisioned Space]))</f>
        <v/>
      </c>
      <c r="O40" s="32">
        <f>IF(A40="","",IF(F40&lt;0.2,"🔴 CPU critique",IF(K40&lt;0.2,"🔴 RAM critique",IF(F40&lt;0.3,"⚠️ CPU warn",IF(K40&lt;0.3,"⚠️ RAM warn","✅ OK")))))</f>
        <v/>
      </c>
    </row>
    <row r="41" ht="18" customHeight="1">
      <c r="A41" s="35">
        <f>IFERROR(INDEX(tHosts[Cluster],MATCH(0,COUNTIF($A$12:$A$40,tHosts[Cluster]),0)),"")</f>
        <v/>
      </c>
      <c r="B41" s="36">
        <f>IF(A41="","",IFERROR(INDEX(tHosts[ClusterDatacenter],MATCH(A41,tHosts[Cluster],0)),""))</f>
        <v/>
      </c>
      <c r="C41" s="37">
        <f>IF(A41="","",COUNTIF(tHosts[Cluster],A41))</f>
        <v/>
      </c>
      <c r="D41" s="37">
        <f>IF(A41="","",SUMIF(tHosts[Cluster],A41,tHosts[CPUs]))</f>
        <v/>
      </c>
      <c r="E41" s="38">
        <f>IF(A41="","",IFERROR(AVERAGEIF(tHosts[Cluster],A41,tHosts[Consumed CPU %]),0))</f>
        <v/>
      </c>
      <c r="F41" s="38">
        <f>IF(A41="","",IFERROR(AVERAGEIF(tHosts[Cluster],A41,tHosts[CPU Free %]),0))</f>
        <v/>
      </c>
      <c r="G41" s="36">
        <f>IF(A41="","",IF(F41&lt;0.2,"🔴 Critique",IF(F41&lt;0.3,"⚠️ Warning","✅ OK")))</f>
        <v/>
      </c>
      <c r="H41" s="37">
        <f>IF(A41="","",SUMIF(tHosts[Cluster],A41,tHosts[CPU free cores]))</f>
        <v/>
      </c>
      <c r="I41" s="37">
        <f>IF(A41="","",ROUND(SUMIF(tHosts[Cluster],A41,tHosts[Memory Size (MB)])/1024,0))</f>
        <v/>
      </c>
      <c r="J41" s="37">
        <f>IF(A41="","",ROUND(SUMIF(tHosts[Cluster],A41,tHosts[RAM])/1024,0))</f>
        <v/>
      </c>
      <c r="K41" s="38">
        <f>IF(A41="","",IFERROR(1-J41/I41,0))</f>
        <v/>
      </c>
      <c r="L41" s="36">
        <f>IF(A41="","",IF(K41&lt;0.2,"🔴 Critique",IF(K41&lt;0.3,"⚠️ Warning","✅ OK")))</f>
        <v/>
      </c>
      <c r="M41" s="37">
        <f>IF(A41="","",COUNTIF(tVMs[Cluster],A41))</f>
        <v/>
      </c>
      <c r="N41" s="37">
        <f>IF(A41="","",SUMIF(tVMs[Cluster],A41,tVMs[Provisioned Space]))</f>
        <v/>
      </c>
      <c r="O41" s="36">
        <f>IF(A41="","",IF(F41&lt;0.2,"🔴 CPU critique",IF(K41&lt;0.2,"🔴 RAM critique",IF(F41&lt;0.3,"⚠️ CPU warn",IF(K41&lt;0.3,"⚠️ RAM warn","✅ OK")))))</f>
        <v/>
      </c>
    </row>
    <row r="42" ht="18" customHeight="1">
      <c r="A42" s="31">
        <f>IFERROR(INDEX(tHosts[Cluster],MATCH(0,COUNTIF($A$12:$A$41,tHosts[Cluster]),0)),"")</f>
        <v/>
      </c>
      <c r="B42" s="32">
        <f>IF(A42="","",IFERROR(INDEX(tHosts[ClusterDatacenter],MATCH(A42,tHosts[Cluster],0)),""))</f>
        <v/>
      </c>
      <c r="C42" s="33">
        <f>IF(A42="","",COUNTIF(tHosts[Cluster],A42))</f>
        <v/>
      </c>
      <c r="D42" s="33">
        <f>IF(A42="","",SUMIF(tHosts[Cluster],A42,tHosts[CPUs]))</f>
        <v/>
      </c>
      <c r="E42" s="34">
        <f>IF(A42="","",IFERROR(AVERAGEIF(tHosts[Cluster],A42,tHosts[Consumed CPU %]),0))</f>
        <v/>
      </c>
      <c r="F42" s="34">
        <f>IF(A42="","",IFERROR(AVERAGEIF(tHosts[Cluster],A42,tHosts[CPU Free %]),0))</f>
        <v/>
      </c>
      <c r="G42" s="32">
        <f>IF(A42="","",IF(F42&lt;0.2,"🔴 Critique",IF(F42&lt;0.3,"⚠️ Warning","✅ OK")))</f>
        <v/>
      </c>
      <c r="H42" s="33">
        <f>IF(A42="","",SUMIF(tHosts[Cluster],A42,tHosts[CPU free cores]))</f>
        <v/>
      </c>
      <c r="I42" s="33">
        <f>IF(A42="","",ROUND(SUMIF(tHosts[Cluster],A42,tHosts[Memory Size (MB)])/1024,0))</f>
        <v/>
      </c>
      <c r="J42" s="33">
        <f>IF(A42="","",ROUND(SUMIF(tHosts[Cluster],A42,tHosts[RAM])/1024,0))</f>
        <v/>
      </c>
      <c r="K42" s="34">
        <f>IF(A42="","",IFERROR(1-J42/I42,0))</f>
        <v/>
      </c>
      <c r="L42" s="32">
        <f>IF(A42="","",IF(K42&lt;0.2,"🔴 Critique",IF(K42&lt;0.3,"⚠️ Warning","✅ OK")))</f>
        <v/>
      </c>
      <c r="M42" s="33">
        <f>IF(A42="","",COUNTIF(tVMs[Cluster],A42))</f>
        <v/>
      </c>
      <c r="N42" s="33">
        <f>IF(A42="","",SUMIF(tVMs[Cluster],A42,tVMs[Provisioned Space]))</f>
        <v/>
      </c>
      <c r="O42" s="32">
        <f>IF(A42="","",IF(F42&lt;0.2,"🔴 CPU critique",IF(K42&lt;0.2,"🔴 RAM critique",IF(F42&lt;0.3,"⚠️ CPU warn",IF(K42&lt;0.3,"⚠️ RAM warn","✅ OK")))))</f>
        <v/>
      </c>
    </row>
    <row r="43" ht="18" customHeight="1">
      <c r="A43" s="35">
        <f>IFERROR(INDEX(tHosts[Cluster],MATCH(0,COUNTIF($A$12:$A$42,tHosts[Cluster]),0)),"")</f>
        <v/>
      </c>
      <c r="B43" s="36">
        <f>IF(A43="","",IFERROR(INDEX(tHosts[ClusterDatacenter],MATCH(A43,tHosts[Cluster],0)),""))</f>
        <v/>
      </c>
      <c r="C43" s="37">
        <f>IF(A43="","",COUNTIF(tHosts[Cluster],A43))</f>
        <v/>
      </c>
      <c r="D43" s="37">
        <f>IF(A43="","",SUMIF(tHosts[Cluster],A43,tHosts[CPUs]))</f>
        <v/>
      </c>
      <c r="E43" s="38">
        <f>IF(A43="","",IFERROR(AVERAGEIF(tHosts[Cluster],A43,tHosts[Consumed CPU %]),0))</f>
        <v/>
      </c>
      <c r="F43" s="38">
        <f>IF(A43="","",IFERROR(AVERAGEIF(tHosts[Cluster],A43,tHosts[CPU Free %]),0))</f>
        <v/>
      </c>
      <c r="G43" s="36">
        <f>IF(A43="","",IF(F43&lt;0.2,"🔴 Critique",IF(F43&lt;0.3,"⚠️ Warning","✅ OK")))</f>
        <v/>
      </c>
      <c r="H43" s="37">
        <f>IF(A43="","",SUMIF(tHosts[Cluster],A43,tHosts[CPU free cores]))</f>
        <v/>
      </c>
      <c r="I43" s="37">
        <f>IF(A43="","",ROUND(SUMIF(tHosts[Cluster],A43,tHosts[Memory Size (MB)])/1024,0))</f>
        <v/>
      </c>
      <c r="J43" s="37">
        <f>IF(A43="","",ROUND(SUMIF(tHosts[Cluster],A43,tHosts[RAM])/1024,0))</f>
        <v/>
      </c>
      <c r="K43" s="38">
        <f>IF(A43="","",IFERROR(1-J43/I43,0))</f>
        <v/>
      </c>
      <c r="L43" s="36">
        <f>IF(A43="","",IF(K43&lt;0.2,"🔴 Critique",IF(K43&lt;0.3,"⚠️ Warning","✅ OK")))</f>
        <v/>
      </c>
      <c r="M43" s="37">
        <f>IF(A43="","",COUNTIF(tVMs[Cluster],A43))</f>
        <v/>
      </c>
      <c r="N43" s="37">
        <f>IF(A43="","",SUMIF(tVMs[Cluster],A43,tVMs[Provisioned Space]))</f>
        <v/>
      </c>
      <c r="O43" s="36">
        <f>IF(A43="","",IF(F43&lt;0.2,"🔴 CPU critique",IF(K43&lt;0.2,"🔴 RAM critique",IF(F43&lt;0.3,"⚠️ CPU warn",IF(K43&lt;0.3,"⚠️ RAM warn","✅ OK")))))</f>
        <v/>
      </c>
    </row>
    <row r="44" ht="18" customHeight="1">
      <c r="A44" s="31">
        <f>IFERROR(INDEX(tHosts[Cluster],MATCH(0,COUNTIF($A$12:$A$43,tHosts[Cluster]),0)),"")</f>
        <v/>
      </c>
      <c r="B44" s="32">
        <f>IF(A44="","",IFERROR(INDEX(tHosts[ClusterDatacenter],MATCH(A44,tHosts[Cluster],0)),""))</f>
        <v/>
      </c>
      <c r="C44" s="33">
        <f>IF(A44="","",COUNTIF(tHosts[Cluster],A44))</f>
        <v/>
      </c>
      <c r="D44" s="33">
        <f>IF(A44="","",SUMIF(tHosts[Cluster],A44,tHosts[CPUs]))</f>
        <v/>
      </c>
      <c r="E44" s="34">
        <f>IF(A44="","",IFERROR(AVERAGEIF(tHosts[Cluster],A44,tHosts[Consumed CPU %]),0))</f>
        <v/>
      </c>
      <c r="F44" s="34">
        <f>IF(A44="","",IFERROR(AVERAGEIF(tHosts[Cluster],A44,tHosts[CPU Free %]),0))</f>
        <v/>
      </c>
      <c r="G44" s="32">
        <f>IF(A44="","",IF(F44&lt;0.2,"🔴 Critique",IF(F44&lt;0.3,"⚠️ Warning","✅ OK")))</f>
        <v/>
      </c>
      <c r="H44" s="33">
        <f>IF(A44="","",SUMIF(tHosts[Cluster],A44,tHosts[CPU free cores]))</f>
        <v/>
      </c>
      <c r="I44" s="33">
        <f>IF(A44="","",ROUND(SUMIF(tHosts[Cluster],A44,tHosts[Memory Size (MB)])/1024,0))</f>
        <v/>
      </c>
      <c r="J44" s="33">
        <f>IF(A44="","",ROUND(SUMIF(tHosts[Cluster],A44,tHosts[RAM])/1024,0))</f>
        <v/>
      </c>
      <c r="K44" s="34">
        <f>IF(A44="","",IFERROR(1-J44/I44,0))</f>
        <v/>
      </c>
      <c r="L44" s="32">
        <f>IF(A44="","",IF(K44&lt;0.2,"🔴 Critique",IF(K44&lt;0.3,"⚠️ Warning","✅ OK")))</f>
        <v/>
      </c>
      <c r="M44" s="33">
        <f>IF(A44="","",COUNTIF(tVMs[Cluster],A44))</f>
        <v/>
      </c>
      <c r="N44" s="33">
        <f>IF(A44="","",SUMIF(tVMs[Cluster],A44,tVMs[Provisioned Space]))</f>
        <v/>
      </c>
      <c r="O44" s="32">
        <f>IF(A44="","",IF(F44&lt;0.2,"🔴 CPU critique",IF(K44&lt;0.2,"🔴 RAM critique",IF(F44&lt;0.3,"⚠️ CPU warn",IF(K44&lt;0.3,"⚠️ RAM warn","✅ OK")))))</f>
        <v/>
      </c>
    </row>
    <row r="45" ht="18" customHeight="1">
      <c r="A45" s="35">
        <f>IFERROR(INDEX(tHosts[Cluster],MATCH(0,COUNTIF($A$12:$A$44,tHosts[Cluster]),0)),"")</f>
        <v/>
      </c>
      <c r="B45" s="36">
        <f>IF(A45="","",IFERROR(INDEX(tHosts[ClusterDatacenter],MATCH(A45,tHosts[Cluster],0)),""))</f>
        <v/>
      </c>
      <c r="C45" s="37">
        <f>IF(A45="","",COUNTIF(tHosts[Cluster],A45))</f>
        <v/>
      </c>
      <c r="D45" s="37">
        <f>IF(A45="","",SUMIF(tHosts[Cluster],A45,tHosts[CPUs]))</f>
        <v/>
      </c>
      <c r="E45" s="38">
        <f>IF(A45="","",IFERROR(AVERAGEIF(tHosts[Cluster],A45,tHosts[Consumed CPU %]),0))</f>
        <v/>
      </c>
      <c r="F45" s="38">
        <f>IF(A45="","",IFERROR(AVERAGEIF(tHosts[Cluster],A45,tHosts[CPU Free %]),0))</f>
        <v/>
      </c>
      <c r="G45" s="36">
        <f>IF(A45="","",IF(F45&lt;0.2,"🔴 Critique",IF(F45&lt;0.3,"⚠️ Warning","✅ OK")))</f>
        <v/>
      </c>
      <c r="H45" s="37">
        <f>IF(A45="","",SUMIF(tHosts[Cluster],A45,tHosts[CPU free cores]))</f>
        <v/>
      </c>
      <c r="I45" s="37">
        <f>IF(A45="","",ROUND(SUMIF(tHosts[Cluster],A45,tHosts[Memory Size (MB)])/1024,0))</f>
        <v/>
      </c>
      <c r="J45" s="37">
        <f>IF(A45="","",ROUND(SUMIF(tHosts[Cluster],A45,tHosts[RAM])/1024,0))</f>
        <v/>
      </c>
      <c r="K45" s="38">
        <f>IF(A45="","",IFERROR(1-J45/I45,0))</f>
        <v/>
      </c>
      <c r="L45" s="36">
        <f>IF(A45="","",IF(K45&lt;0.2,"🔴 Critique",IF(K45&lt;0.3,"⚠️ Warning","✅ OK")))</f>
        <v/>
      </c>
      <c r="M45" s="37">
        <f>IF(A45="","",COUNTIF(tVMs[Cluster],A45))</f>
        <v/>
      </c>
      <c r="N45" s="37">
        <f>IF(A45="","",SUMIF(tVMs[Cluster],A45,tVMs[Provisioned Space]))</f>
        <v/>
      </c>
      <c r="O45" s="36">
        <f>IF(A45="","",IF(F45&lt;0.2,"🔴 CPU critique",IF(K45&lt;0.2,"🔴 RAM critique",IF(F45&lt;0.3,"⚠️ CPU warn",IF(K45&lt;0.3,"⚠️ RAM warn","✅ OK")))))</f>
        <v/>
      </c>
    </row>
    <row r="46" ht="18" customHeight="1">
      <c r="A46" s="31">
        <f>IFERROR(INDEX(tHosts[Cluster],MATCH(0,COUNTIF($A$12:$A$45,tHosts[Cluster]),0)),"")</f>
        <v/>
      </c>
      <c r="B46" s="32">
        <f>IF(A46="","",IFERROR(INDEX(tHosts[ClusterDatacenter],MATCH(A46,tHosts[Cluster],0)),""))</f>
        <v/>
      </c>
      <c r="C46" s="33">
        <f>IF(A46="","",COUNTIF(tHosts[Cluster],A46))</f>
        <v/>
      </c>
      <c r="D46" s="33">
        <f>IF(A46="","",SUMIF(tHosts[Cluster],A46,tHosts[CPUs]))</f>
        <v/>
      </c>
      <c r="E46" s="34">
        <f>IF(A46="","",IFERROR(AVERAGEIF(tHosts[Cluster],A46,tHosts[Consumed CPU %]),0))</f>
        <v/>
      </c>
      <c r="F46" s="34">
        <f>IF(A46="","",IFERROR(AVERAGEIF(tHosts[Cluster],A46,tHosts[CPU Free %]),0))</f>
        <v/>
      </c>
      <c r="G46" s="32">
        <f>IF(A46="","",IF(F46&lt;0.2,"🔴 Critique",IF(F46&lt;0.3,"⚠️ Warning","✅ OK")))</f>
        <v/>
      </c>
      <c r="H46" s="33">
        <f>IF(A46="","",SUMIF(tHosts[Cluster],A46,tHosts[CPU free cores]))</f>
        <v/>
      </c>
      <c r="I46" s="33">
        <f>IF(A46="","",ROUND(SUMIF(tHosts[Cluster],A46,tHosts[Memory Size (MB)])/1024,0))</f>
        <v/>
      </c>
      <c r="J46" s="33">
        <f>IF(A46="","",ROUND(SUMIF(tHosts[Cluster],A46,tHosts[RAM])/1024,0))</f>
        <v/>
      </c>
      <c r="K46" s="34">
        <f>IF(A46="","",IFERROR(1-J46/I46,0))</f>
        <v/>
      </c>
      <c r="L46" s="32">
        <f>IF(A46="","",IF(K46&lt;0.2,"🔴 Critique",IF(K46&lt;0.3,"⚠️ Warning","✅ OK")))</f>
        <v/>
      </c>
      <c r="M46" s="33">
        <f>IF(A46="","",COUNTIF(tVMs[Cluster],A46))</f>
        <v/>
      </c>
      <c r="N46" s="33">
        <f>IF(A46="","",SUMIF(tVMs[Cluster],A46,tVMs[Provisioned Space]))</f>
        <v/>
      </c>
      <c r="O46" s="32">
        <f>IF(A46="","",IF(F46&lt;0.2,"🔴 CPU critique",IF(K46&lt;0.2,"🔴 RAM critique",IF(F46&lt;0.3,"⚠️ CPU warn",IF(K46&lt;0.3,"⚠️ RAM warn","✅ OK")))))</f>
        <v/>
      </c>
    </row>
    <row r="47" ht="18" customHeight="1">
      <c r="A47" s="35">
        <f>IFERROR(INDEX(tHosts[Cluster],MATCH(0,COUNTIF($A$12:$A$46,tHosts[Cluster]),0)),"")</f>
        <v/>
      </c>
      <c r="B47" s="36">
        <f>IF(A47="","",IFERROR(INDEX(tHosts[ClusterDatacenter],MATCH(A47,tHosts[Cluster],0)),""))</f>
        <v/>
      </c>
      <c r="C47" s="37">
        <f>IF(A47="","",COUNTIF(tHosts[Cluster],A47))</f>
        <v/>
      </c>
      <c r="D47" s="37">
        <f>IF(A47="","",SUMIF(tHosts[Cluster],A47,tHosts[CPUs]))</f>
        <v/>
      </c>
      <c r="E47" s="38">
        <f>IF(A47="","",IFERROR(AVERAGEIF(tHosts[Cluster],A47,tHosts[Consumed CPU %]),0))</f>
        <v/>
      </c>
      <c r="F47" s="38">
        <f>IF(A47="","",IFERROR(AVERAGEIF(tHosts[Cluster],A47,tHosts[CPU Free %]),0))</f>
        <v/>
      </c>
      <c r="G47" s="36">
        <f>IF(A47="","",IF(F47&lt;0.2,"🔴 Critique",IF(F47&lt;0.3,"⚠️ Warning","✅ OK")))</f>
        <v/>
      </c>
      <c r="H47" s="37">
        <f>IF(A47="","",SUMIF(tHosts[Cluster],A47,tHosts[CPU free cores]))</f>
        <v/>
      </c>
      <c r="I47" s="37">
        <f>IF(A47="","",ROUND(SUMIF(tHosts[Cluster],A47,tHosts[Memory Size (MB)])/1024,0))</f>
        <v/>
      </c>
      <c r="J47" s="37">
        <f>IF(A47="","",ROUND(SUMIF(tHosts[Cluster],A47,tHosts[RAM])/1024,0))</f>
        <v/>
      </c>
      <c r="K47" s="38">
        <f>IF(A47="","",IFERROR(1-J47/I47,0))</f>
        <v/>
      </c>
      <c r="L47" s="36">
        <f>IF(A47="","",IF(K47&lt;0.2,"🔴 Critique",IF(K47&lt;0.3,"⚠️ Warning","✅ OK")))</f>
        <v/>
      </c>
      <c r="M47" s="37">
        <f>IF(A47="","",COUNTIF(tVMs[Cluster],A47))</f>
        <v/>
      </c>
      <c r="N47" s="37">
        <f>IF(A47="","",SUMIF(tVMs[Cluster],A47,tVMs[Provisioned Space]))</f>
        <v/>
      </c>
      <c r="O47" s="36">
        <f>IF(A47="","",IF(F47&lt;0.2,"🔴 CPU critique",IF(K47&lt;0.2,"🔴 RAM critique",IF(F47&lt;0.3,"⚠️ CPU warn",IF(K47&lt;0.3,"⚠️ RAM warn","✅ OK")))))</f>
        <v/>
      </c>
    </row>
    <row r="48" ht="18" customHeight="1">
      <c r="A48" s="31">
        <f>IFERROR(INDEX(tHosts[Cluster],MATCH(0,COUNTIF($A$12:$A$47,tHosts[Cluster]),0)),"")</f>
        <v/>
      </c>
      <c r="B48" s="32">
        <f>IF(A48="","",IFERROR(INDEX(tHosts[ClusterDatacenter],MATCH(A48,tHosts[Cluster],0)),""))</f>
        <v/>
      </c>
      <c r="C48" s="33">
        <f>IF(A48="","",COUNTIF(tHosts[Cluster],A48))</f>
        <v/>
      </c>
      <c r="D48" s="33">
        <f>IF(A48="","",SUMIF(tHosts[Cluster],A48,tHosts[CPUs]))</f>
        <v/>
      </c>
      <c r="E48" s="34">
        <f>IF(A48="","",IFERROR(AVERAGEIF(tHosts[Cluster],A48,tHosts[Consumed CPU %]),0))</f>
        <v/>
      </c>
      <c r="F48" s="34">
        <f>IF(A48="","",IFERROR(AVERAGEIF(tHosts[Cluster],A48,tHosts[CPU Free %]),0))</f>
        <v/>
      </c>
      <c r="G48" s="32">
        <f>IF(A48="","",IF(F48&lt;0.2,"🔴 Critique",IF(F48&lt;0.3,"⚠️ Warning","✅ OK")))</f>
        <v/>
      </c>
      <c r="H48" s="33">
        <f>IF(A48="","",SUMIF(tHosts[Cluster],A48,tHosts[CPU free cores]))</f>
        <v/>
      </c>
      <c r="I48" s="33">
        <f>IF(A48="","",ROUND(SUMIF(tHosts[Cluster],A48,tHosts[Memory Size (MB)])/1024,0))</f>
        <v/>
      </c>
      <c r="J48" s="33">
        <f>IF(A48="","",ROUND(SUMIF(tHosts[Cluster],A48,tHosts[RAM])/1024,0))</f>
        <v/>
      </c>
      <c r="K48" s="34">
        <f>IF(A48="","",IFERROR(1-J48/I48,0))</f>
        <v/>
      </c>
      <c r="L48" s="32">
        <f>IF(A48="","",IF(K48&lt;0.2,"🔴 Critique",IF(K48&lt;0.3,"⚠️ Warning","✅ OK")))</f>
        <v/>
      </c>
      <c r="M48" s="33">
        <f>IF(A48="","",COUNTIF(tVMs[Cluster],A48))</f>
        <v/>
      </c>
      <c r="N48" s="33">
        <f>IF(A48="","",SUMIF(tVMs[Cluster],A48,tVMs[Provisioned Space]))</f>
        <v/>
      </c>
      <c r="O48" s="32">
        <f>IF(A48="","",IF(F48&lt;0.2,"🔴 CPU critique",IF(K48&lt;0.2,"🔴 RAM critique",IF(F48&lt;0.3,"⚠️ CPU warn",IF(K48&lt;0.3,"⚠️ RAM warn","✅ OK")))))</f>
        <v/>
      </c>
    </row>
    <row r="49" ht="18" customHeight="1">
      <c r="A49" s="35">
        <f>IFERROR(INDEX(tHosts[Cluster],MATCH(0,COUNTIF($A$12:$A$48,tHosts[Cluster]),0)),"")</f>
        <v/>
      </c>
      <c r="B49" s="36">
        <f>IF(A49="","",IFERROR(INDEX(tHosts[ClusterDatacenter],MATCH(A49,tHosts[Cluster],0)),""))</f>
        <v/>
      </c>
      <c r="C49" s="37">
        <f>IF(A49="","",COUNTIF(tHosts[Cluster],A49))</f>
        <v/>
      </c>
      <c r="D49" s="37">
        <f>IF(A49="","",SUMIF(tHosts[Cluster],A49,tHosts[CPUs]))</f>
        <v/>
      </c>
      <c r="E49" s="38">
        <f>IF(A49="","",IFERROR(AVERAGEIF(tHosts[Cluster],A49,tHosts[Consumed CPU %]),0))</f>
        <v/>
      </c>
      <c r="F49" s="38">
        <f>IF(A49="","",IFERROR(AVERAGEIF(tHosts[Cluster],A49,tHosts[CPU Free %]),0))</f>
        <v/>
      </c>
      <c r="G49" s="36">
        <f>IF(A49="","",IF(F49&lt;0.2,"🔴 Critique",IF(F49&lt;0.3,"⚠️ Warning","✅ OK")))</f>
        <v/>
      </c>
      <c r="H49" s="37">
        <f>IF(A49="","",SUMIF(tHosts[Cluster],A49,tHosts[CPU free cores]))</f>
        <v/>
      </c>
      <c r="I49" s="37">
        <f>IF(A49="","",ROUND(SUMIF(tHosts[Cluster],A49,tHosts[Memory Size (MB)])/1024,0))</f>
        <v/>
      </c>
      <c r="J49" s="37">
        <f>IF(A49="","",ROUND(SUMIF(tHosts[Cluster],A49,tHosts[RAM])/1024,0))</f>
        <v/>
      </c>
      <c r="K49" s="38">
        <f>IF(A49="","",IFERROR(1-J49/I49,0))</f>
        <v/>
      </c>
      <c r="L49" s="36">
        <f>IF(A49="","",IF(K49&lt;0.2,"🔴 Critique",IF(K49&lt;0.3,"⚠️ Warning","✅ OK")))</f>
        <v/>
      </c>
      <c r="M49" s="37">
        <f>IF(A49="","",COUNTIF(tVMs[Cluster],A49))</f>
        <v/>
      </c>
      <c r="N49" s="37">
        <f>IF(A49="","",SUMIF(tVMs[Cluster],A49,tVMs[Provisioned Space]))</f>
        <v/>
      </c>
      <c r="O49" s="36">
        <f>IF(A49="","",IF(F49&lt;0.2,"🔴 CPU critique",IF(K49&lt;0.2,"🔴 RAM critique",IF(F49&lt;0.3,"⚠️ CPU warn",IF(K49&lt;0.3,"⚠️ RAM warn","✅ OK")))))</f>
        <v/>
      </c>
    </row>
    <row r="50" ht="18" customHeight="1">
      <c r="A50" s="31">
        <f>IFERROR(INDEX(tHosts[Cluster],MATCH(0,COUNTIF($A$12:$A$49,tHosts[Cluster]),0)),"")</f>
        <v/>
      </c>
      <c r="B50" s="32">
        <f>IF(A50="","",IFERROR(INDEX(tHosts[ClusterDatacenter],MATCH(A50,tHosts[Cluster],0)),""))</f>
        <v/>
      </c>
      <c r="C50" s="33">
        <f>IF(A50="","",COUNTIF(tHosts[Cluster],A50))</f>
        <v/>
      </c>
      <c r="D50" s="33">
        <f>IF(A50="","",SUMIF(tHosts[Cluster],A50,tHosts[CPUs]))</f>
        <v/>
      </c>
      <c r="E50" s="34">
        <f>IF(A50="","",IFERROR(AVERAGEIF(tHosts[Cluster],A50,tHosts[Consumed CPU %]),0))</f>
        <v/>
      </c>
      <c r="F50" s="34">
        <f>IF(A50="","",IFERROR(AVERAGEIF(tHosts[Cluster],A50,tHosts[CPU Free %]),0))</f>
        <v/>
      </c>
      <c r="G50" s="32">
        <f>IF(A50="","",IF(F50&lt;0.2,"🔴 Critique",IF(F50&lt;0.3,"⚠️ Warning","✅ OK")))</f>
        <v/>
      </c>
      <c r="H50" s="33">
        <f>IF(A50="","",SUMIF(tHosts[Cluster],A50,tHosts[CPU free cores]))</f>
        <v/>
      </c>
      <c r="I50" s="33">
        <f>IF(A50="","",ROUND(SUMIF(tHosts[Cluster],A50,tHosts[Memory Size (MB)])/1024,0))</f>
        <v/>
      </c>
      <c r="J50" s="33">
        <f>IF(A50="","",ROUND(SUMIF(tHosts[Cluster],A50,tHosts[RAM])/1024,0))</f>
        <v/>
      </c>
      <c r="K50" s="34">
        <f>IF(A50="","",IFERROR(1-J50/I50,0))</f>
        <v/>
      </c>
      <c r="L50" s="32">
        <f>IF(A50="","",IF(K50&lt;0.2,"🔴 Critique",IF(K50&lt;0.3,"⚠️ Warning","✅ OK")))</f>
        <v/>
      </c>
      <c r="M50" s="33">
        <f>IF(A50="","",COUNTIF(tVMs[Cluster],A50))</f>
        <v/>
      </c>
      <c r="N50" s="33">
        <f>IF(A50="","",SUMIF(tVMs[Cluster],A50,tVMs[Provisioned Space]))</f>
        <v/>
      </c>
      <c r="O50" s="32">
        <f>IF(A50="","",IF(F50&lt;0.2,"🔴 CPU critique",IF(K50&lt;0.2,"🔴 RAM critique",IF(F50&lt;0.3,"⚠️ CPU warn",IF(K50&lt;0.3,"⚠️ RAM warn","✅ OK")))))</f>
        <v/>
      </c>
    </row>
    <row r="51" ht="18" customHeight="1">
      <c r="A51" s="35">
        <f>IFERROR(INDEX(tHosts[Cluster],MATCH(0,COUNTIF($A$12:$A$50,tHosts[Cluster]),0)),"")</f>
        <v/>
      </c>
      <c r="B51" s="36">
        <f>IF(A51="","",IFERROR(INDEX(tHosts[ClusterDatacenter],MATCH(A51,tHosts[Cluster],0)),""))</f>
        <v/>
      </c>
      <c r="C51" s="37">
        <f>IF(A51="","",COUNTIF(tHosts[Cluster],A51))</f>
        <v/>
      </c>
      <c r="D51" s="37">
        <f>IF(A51="","",SUMIF(tHosts[Cluster],A51,tHosts[CPUs]))</f>
        <v/>
      </c>
      <c r="E51" s="38">
        <f>IF(A51="","",IFERROR(AVERAGEIF(tHosts[Cluster],A51,tHosts[Consumed CPU %]),0))</f>
        <v/>
      </c>
      <c r="F51" s="38">
        <f>IF(A51="","",IFERROR(AVERAGEIF(tHosts[Cluster],A51,tHosts[CPU Free %]),0))</f>
        <v/>
      </c>
      <c r="G51" s="36">
        <f>IF(A51="","",IF(F51&lt;0.2,"🔴 Critique",IF(F51&lt;0.3,"⚠️ Warning","✅ OK")))</f>
        <v/>
      </c>
      <c r="H51" s="37">
        <f>IF(A51="","",SUMIF(tHosts[Cluster],A51,tHosts[CPU free cores]))</f>
        <v/>
      </c>
      <c r="I51" s="37">
        <f>IF(A51="","",ROUND(SUMIF(tHosts[Cluster],A51,tHosts[Memory Size (MB)])/1024,0))</f>
        <v/>
      </c>
      <c r="J51" s="37">
        <f>IF(A51="","",ROUND(SUMIF(tHosts[Cluster],A51,tHosts[RAM])/1024,0))</f>
        <v/>
      </c>
      <c r="K51" s="38">
        <f>IF(A51="","",IFERROR(1-J51/I51,0))</f>
        <v/>
      </c>
      <c r="L51" s="36">
        <f>IF(A51="","",IF(K51&lt;0.2,"🔴 Critique",IF(K51&lt;0.3,"⚠️ Warning","✅ OK")))</f>
        <v/>
      </c>
      <c r="M51" s="37">
        <f>IF(A51="","",COUNTIF(tVMs[Cluster],A51))</f>
        <v/>
      </c>
      <c r="N51" s="37">
        <f>IF(A51="","",SUMIF(tVMs[Cluster],A51,tVMs[Provisioned Space]))</f>
        <v/>
      </c>
      <c r="O51" s="36">
        <f>IF(A51="","",IF(F51&lt;0.2,"🔴 CPU critique",IF(K51&lt;0.2,"🔴 RAM critique",IF(F51&lt;0.3,"⚠️ CPU warn",IF(K51&lt;0.3,"⚠️ RAM warn","✅ OK")))))</f>
        <v/>
      </c>
    </row>
    <row r="52" ht="22" customHeight="1">
      <c r="A52" s="39" t="inlineStr">
        <is>
          <t>TOTAUX</t>
        </is>
      </c>
      <c r="B52" s="39" t="n"/>
      <c r="C52" s="40">
        <f>SUMIF($A$12:$A$51,"&lt;&gt;"&amp;"",C12:C51)</f>
        <v/>
      </c>
      <c r="D52" s="40">
        <f>SUMIF($A$12:$A$51,"&lt;&gt;"&amp;"",D12:D51)</f>
        <v/>
      </c>
      <c r="E52" s="39" t="n"/>
      <c r="F52" s="39" t="n"/>
      <c r="G52" s="39" t="n"/>
      <c r="H52" s="40">
        <f>SUMIF($A$12:$A$51,"&lt;&gt;"&amp;"",H12:H51)</f>
        <v/>
      </c>
      <c r="I52" s="40">
        <f>SUMIF($A$12:$A$51,"&lt;&gt;"&amp;"",I12:I51)</f>
        <v/>
      </c>
      <c r="J52" s="40">
        <f>SUMIF($A$12:$A$51,"&lt;&gt;"&amp;"",J12:J51)</f>
        <v/>
      </c>
      <c r="K52" s="39" t="n"/>
      <c r="L52" s="39" t="n"/>
      <c r="M52" s="40">
        <f>SUMIF($A$12:$A$51,"&lt;&gt;"&amp;"",M12:M51)</f>
        <v/>
      </c>
      <c r="N52" s="40">
        <f>SUMIF($A$12:$A$51,"&lt;&gt;"&amp;"",N12:N51)</f>
        <v/>
      </c>
      <c r="O52" s="39" t="n"/>
    </row>
    <row r="54" ht="20" customHeight="1">
      <c r="A54" s="30" t="inlineStr">
        <is>
          <t xml:space="preserve">  📈  GRAPHIQUES PAR CLUSTER</t>
        </is>
      </c>
    </row>
  </sheetData>
  <mergeCells count="24">
    <mergeCell ref="A9:Q9"/>
    <mergeCell ref="J5:K5"/>
    <mergeCell ref="M5:N5"/>
    <mergeCell ref="A6:B6"/>
    <mergeCell ref="D6:E6"/>
    <mergeCell ref="A7:B7"/>
    <mergeCell ref="G7:H7"/>
    <mergeCell ref="J6:K6"/>
    <mergeCell ref="A2:R2"/>
    <mergeCell ref="P6:Q6"/>
    <mergeCell ref="A54:Q54"/>
    <mergeCell ref="G6:H6"/>
    <mergeCell ref="M7:N7"/>
    <mergeCell ref="D7:E7"/>
    <mergeCell ref="M6:N6"/>
    <mergeCell ref="P7:Q7"/>
    <mergeCell ref="A10:R10"/>
    <mergeCell ref="J7:K7"/>
    <mergeCell ref="A5:B5"/>
    <mergeCell ref="G5:H5"/>
    <mergeCell ref="A4:Q4"/>
    <mergeCell ref="D5:E5"/>
    <mergeCell ref="A1:R1"/>
    <mergeCell ref="P5:Q5"/>
  </mergeCells>
  <conditionalFormatting sqref="E12:E51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conditionalFormatting sqref="K12:K51">
    <cfRule type="colorScale" priority="2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57F17"/>
    <outlinePr summaryBelow="1" summaryRight="1"/>
    <pageSetUpPr/>
  </sheetPr>
  <dimension ref="A1:P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48" customHeight="1">
      <c r="A1" s="1" t="inlineStr">
        <is>
          <t>💽  ANALYSE CAPACITÉ – STOCKAGE</t>
        </is>
      </c>
    </row>
    <row r="2" ht="14" customHeight="1">
      <c r="A2" s="2" t="inlineStr">
        <is>
          <t>✅  100% automatique — alimenté depuis tDatastores | Pas de saisie requise</t>
        </is>
      </c>
    </row>
    <row r="4" ht="20" customHeight="1">
      <c r="A4" s="16" t="inlineStr">
        <is>
          <t xml:space="preserve">  📊  INDICATEURS GLOBAUX STOCKAGE</t>
        </is>
      </c>
    </row>
    <row r="5" ht="18" customHeight="1">
      <c r="A5" s="17" t="inlineStr">
        <is>
          <t>Cap. Totale (TB)</t>
        </is>
      </c>
      <c r="B5" s="18" t="n"/>
      <c r="D5" s="17" t="inlineStr">
        <is>
          <t>Cap. Totale (GB)</t>
        </is>
      </c>
      <c r="E5" s="18" t="n"/>
      <c r="G5" s="20" t="inlineStr">
        <is>
          <t>Libre (GB)</t>
        </is>
      </c>
      <c r="H5" s="18" t="n"/>
      <c r="J5" s="19" t="inlineStr">
        <is>
          <t>Usage Global</t>
        </is>
      </c>
      <c r="K5" s="18" t="n"/>
      <c r="M5" s="21" t="inlineStr">
        <is>
          <t>DS critiques</t>
        </is>
      </c>
      <c r="N5" s="18" t="n"/>
    </row>
    <row r="6" ht="40" customHeight="1">
      <c r="A6" s="41">
        <f>IFERROR(ROUND(SUM(tDatastores[Capacity TB]),1),0)</f>
        <v/>
      </c>
      <c r="B6" s="18" t="n"/>
      <c r="D6" s="22">
        <f>IFERROR(ROUND(SUM(tDatastores[Capacity]),0),0)</f>
        <v/>
      </c>
      <c r="E6" s="18" t="n"/>
      <c r="G6" s="42">
        <f>IFERROR(ROUND(SUM(tDatastores[Free]),0),0)</f>
        <v/>
      </c>
      <c r="H6" s="18" t="n"/>
      <c r="J6" s="23">
        <f>IFERROR(1-SUM(tDatastores[Free])/SUM(tDatastores[Capacity]),0)</f>
        <v/>
      </c>
      <c r="K6" s="18" t="n"/>
      <c r="M6" s="25">
        <f>COUNTIF(tDatastores[Status],"red")+COUNTIF(tDatastores[Status],"yellow")</f>
        <v/>
      </c>
      <c r="N6" s="18" t="n"/>
    </row>
    <row r="7" ht="14" customHeight="1">
      <c r="A7" s="26" t="inlineStr">
        <is>
          <t>TB total</t>
        </is>
      </c>
      <c r="B7" s="18" t="n"/>
      <c r="D7" s="26" t="inlineStr">
        <is>
          <t>GB total</t>
        </is>
      </c>
      <c r="E7" s="18" t="n"/>
      <c r="G7" s="28" t="inlineStr">
        <is>
          <t>GB libres</t>
        </is>
      </c>
      <c r="H7" s="18" t="n"/>
      <c r="J7" s="27" t="inlineStr">
        <is>
          <t>% utilisé</t>
        </is>
      </c>
      <c r="K7" s="18" t="n"/>
      <c r="M7" s="29" t="inlineStr">
        <is>
          <t>⚠️/🔴</t>
        </is>
      </c>
      <c r="N7" s="18" t="n"/>
    </row>
    <row r="9" ht="20" customHeight="1">
      <c r="A9" s="43" t="inlineStr">
        <is>
          <t xml:space="preserve">  📋  RÉSUMÉ PAR CLUSTER  — Automatique (clusters extraits de tDatastores)</t>
        </is>
      </c>
    </row>
    <row r="10">
      <c r="A10" s="44" t="inlineStr">
        <is>
          <t>✅  Clusters extraits automatiquement de tDatastores. Aucune saisie requise.</t>
        </is>
      </c>
    </row>
    <row r="11" ht="24" customHeight="1">
      <c r="A11" s="10" t="inlineStr">
        <is>
          <t>Cluster</t>
        </is>
      </c>
      <c r="B11" s="10" t="inlineStr">
        <is>
          <t>Type principal</t>
        </is>
      </c>
      <c r="C11" s="10" t="inlineStr">
        <is>
          <t>Cap.(TB)</t>
        </is>
      </c>
      <c r="D11" s="10" t="inlineStr">
        <is>
          <t>Cap.(GB)</t>
        </is>
      </c>
      <c r="E11" s="10" t="inlineStr">
        <is>
          <t>Libre(GB)</t>
        </is>
      </c>
      <c r="F11" s="10" t="inlineStr">
        <is>
          <t>Utilisé(GB)</t>
        </is>
      </c>
      <c r="G11" s="10" t="inlineStr">
        <is>
          <t>Usage%</t>
        </is>
      </c>
      <c r="H11" s="10" t="inlineStr">
        <is>
          <t>Statut</t>
        </is>
      </c>
      <c r="I11" s="10" t="inlineStr">
        <is>
          <t>DS count</t>
        </is>
      </c>
      <c r="J11" s="10" t="inlineStr">
        <is>
          <t>DS alertes</t>
        </is>
      </c>
      <c r="K11" s="10" t="inlineStr">
        <is>
          <t>Alerte</t>
        </is>
      </c>
    </row>
    <row r="12" ht="18" customHeight="1">
      <c r="A12" s="31">
        <f>IFERROR(INDEX(tDatastores[Cluster],MATCH(0,COUNTIF($A$12,tDatastores[Cluster]),0)),"")</f>
        <v/>
      </c>
      <c r="B12" s="32">
        <f>IF(A12="","",IFERROR(INDEX(tDatastores[Type],MATCH(A12,tDatastores[Cluster],0)),""))</f>
        <v/>
      </c>
      <c r="C12" s="45">
        <f>IF(A12="","",IFERROR(SUMIF(tDatastores[Cluster],A12,tDatastores[Capacity TB]),0))</f>
        <v/>
      </c>
      <c r="D12" s="33">
        <f>IF(A12="","",IFERROR(SUMIF(tDatastores[Cluster],A12,tDatastores[Capacity]),0))</f>
        <v/>
      </c>
      <c r="E12" s="33">
        <f>IF(A12="","",IFERROR(SUMIF(tDatastores[Cluster],A12,tDatastores[Free]),0))</f>
        <v/>
      </c>
      <c r="F12" s="33">
        <f>IF(A12="","",IFERROR(D12-E12,0))</f>
        <v/>
      </c>
      <c r="G12" s="34">
        <f>IF(A12="","",IFERROR(F12/D12,0))</f>
        <v/>
      </c>
      <c r="H12" s="32">
        <f>IF(A12="","",IF(G12&lt;0.7,"✅ OK",IF(G12&lt;0.85,"⚠️ Warning","🔴 Critique")))</f>
        <v/>
      </c>
      <c r="I12" s="33">
        <f>IF(A12="","",COUNTIF(tDatastores[Cluster],A12))</f>
        <v/>
      </c>
      <c r="J12" s="33">
        <f>IF(A12="","",COUNTIFS(tDatastores[Cluster],A12,tDatastores[Status],"red")+COUNTIFS(tDatastores[Cluster],A12,tDatastores[Status],"yellow"))</f>
        <v/>
      </c>
      <c r="K12" s="32">
        <f>IF(A12="","",IF(G12&gt;0.9,"🔴 Critique",IF(G12&gt;0.8,"⚠️ Warning","✅ OK")))</f>
        <v/>
      </c>
    </row>
    <row r="13" ht="18" customHeight="1">
      <c r="A13" s="35">
        <f>IFERROR(INDEX(tDatastores[Cluster],MATCH(0,COUNTIF($A$12:$A$12,tDatastores[Cluster]),0)),"")</f>
        <v/>
      </c>
      <c r="B13" s="36">
        <f>IF(A13="","",IFERROR(INDEX(tDatastores[Type],MATCH(A13,tDatastores[Cluster],0)),""))</f>
        <v/>
      </c>
      <c r="C13" s="46">
        <f>IF(A13="","",IFERROR(SUMIF(tDatastores[Cluster],A13,tDatastores[Capacity TB]),0))</f>
        <v/>
      </c>
      <c r="D13" s="37">
        <f>IF(A13="","",IFERROR(SUMIF(tDatastores[Cluster],A13,tDatastores[Capacity]),0))</f>
        <v/>
      </c>
      <c r="E13" s="37">
        <f>IF(A13="","",IFERROR(SUMIF(tDatastores[Cluster],A13,tDatastores[Free]),0))</f>
        <v/>
      </c>
      <c r="F13" s="37">
        <f>IF(A13="","",IFERROR(D13-E13,0))</f>
        <v/>
      </c>
      <c r="G13" s="38">
        <f>IF(A13="","",IFERROR(F13/D13,0))</f>
        <v/>
      </c>
      <c r="H13" s="36">
        <f>IF(A13="","",IF(G13&lt;0.7,"✅ OK",IF(G13&lt;0.85,"⚠️ Warning","🔴 Critique")))</f>
        <v/>
      </c>
      <c r="I13" s="37">
        <f>IF(A13="","",COUNTIF(tDatastores[Cluster],A13))</f>
        <v/>
      </c>
      <c r="J13" s="37">
        <f>IF(A13="","",COUNTIFS(tDatastores[Cluster],A13,tDatastores[Status],"red")+COUNTIFS(tDatastores[Cluster],A13,tDatastores[Status],"yellow"))</f>
        <v/>
      </c>
      <c r="K13" s="36">
        <f>IF(A13="","",IF(G13&gt;0.9,"🔴 Critique",IF(G13&gt;0.8,"⚠️ Warning","✅ OK")))</f>
        <v/>
      </c>
    </row>
    <row r="14" ht="18" customHeight="1">
      <c r="A14" s="31">
        <f>IFERROR(INDEX(tDatastores[Cluster],MATCH(0,COUNTIF($A$12:$A$13,tDatastores[Cluster]),0)),"")</f>
        <v/>
      </c>
      <c r="B14" s="32">
        <f>IF(A14="","",IFERROR(INDEX(tDatastores[Type],MATCH(A14,tDatastores[Cluster],0)),""))</f>
        <v/>
      </c>
      <c r="C14" s="45">
        <f>IF(A14="","",IFERROR(SUMIF(tDatastores[Cluster],A14,tDatastores[Capacity TB]),0))</f>
        <v/>
      </c>
      <c r="D14" s="33">
        <f>IF(A14="","",IFERROR(SUMIF(tDatastores[Cluster],A14,tDatastores[Capacity]),0))</f>
        <v/>
      </c>
      <c r="E14" s="33">
        <f>IF(A14="","",IFERROR(SUMIF(tDatastores[Cluster],A14,tDatastores[Free]),0))</f>
        <v/>
      </c>
      <c r="F14" s="33">
        <f>IF(A14="","",IFERROR(D14-E14,0))</f>
        <v/>
      </c>
      <c r="G14" s="34">
        <f>IF(A14="","",IFERROR(F14/D14,0))</f>
        <v/>
      </c>
      <c r="H14" s="32">
        <f>IF(A14="","",IF(G14&lt;0.7,"✅ OK",IF(G14&lt;0.85,"⚠️ Warning","🔴 Critique")))</f>
        <v/>
      </c>
      <c r="I14" s="33">
        <f>IF(A14="","",COUNTIF(tDatastores[Cluster],A14))</f>
        <v/>
      </c>
      <c r="J14" s="33">
        <f>IF(A14="","",COUNTIFS(tDatastores[Cluster],A14,tDatastores[Status],"red")+COUNTIFS(tDatastores[Cluster],A14,tDatastores[Status],"yellow"))</f>
        <v/>
      </c>
      <c r="K14" s="32">
        <f>IF(A14="","",IF(G14&gt;0.9,"🔴 Critique",IF(G14&gt;0.8,"⚠️ Warning","✅ OK")))</f>
        <v/>
      </c>
    </row>
    <row r="15" ht="18" customHeight="1">
      <c r="A15" s="35">
        <f>IFERROR(INDEX(tDatastores[Cluster],MATCH(0,COUNTIF($A$12:$A$14,tDatastores[Cluster]),0)),"")</f>
        <v/>
      </c>
      <c r="B15" s="36">
        <f>IF(A15="","",IFERROR(INDEX(tDatastores[Type],MATCH(A15,tDatastores[Cluster],0)),""))</f>
        <v/>
      </c>
      <c r="C15" s="46">
        <f>IF(A15="","",IFERROR(SUMIF(tDatastores[Cluster],A15,tDatastores[Capacity TB]),0))</f>
        <v/>
      </c>
      <c r="D15" s="37">
        <f>IF(A15="","",IFERROR(SUMIF(tDatastores[Cluster],A15,tDatastores[Capacity]),0))</f>
        <v/>
      </c>
      <c r="E15" s="37">
        <f>IF(A15="","",IFERROR(SUMIF(tDatastores[Cluster],A15,tDatastores[Free]),0))</f>
        <v/>
      </c>
      <c r="F15" s="37">
        <f>IF(A15="","",IFERROR(D15-E15,0))</f>
        <v/>
      </c>
      <c r="G15" s="38">
        <f>IF(A15="","",IFERROR(F15/D15,0))</f>
        <v/>
      </c>
      <c r="H15" s="36">
        <f>IF(A15="","",IF(G15&lt;0.7,"✅ OK",IF(G15&lt;0.85,"⚠️ Warning","🔴 Critique")))</f>
        <v/>
      </c>
      <c r="I15" s="37">
        <f>IF(A15="","",COUNTIF(tDatastores[Cluster],A15))</f>
        <v/>
      </c>
      <c r="J15" s="37">
        <f>IF(A15="","",COUNTIFS(tDatastores[Cluster],A15,tDatastores[Status],"red")+COUNTIFS(tDatastores[Cluster],A15,tDatastores[Status],"yellow"))</f>
        <v/>
      </c>
      <c r="K15" s="36">
        <f>IF(A15="","",IF(G15&gt;0.9,"🔴 Critique",IF(G15&gt;0.8,"⚠️ Warning","✅ OK")))</f>
        <v/>
      </c>
    </row>
    <row r="16" ht="18" customHeight="1">
      <c r="A16" s="31">
        <f>IFERROR(INDEX(tDatastores[Cluster],MATCH(0,COUNTIF($A$12:$A$15,tDatastores[Cluster]),0)),"")</f>
        <v/>
      </c>
      <c r="B16" s="32">
        <f>IF(A16="","",IFERROR(INDEX(tDatastores[Type],MATCH(A16,tDatastores[Cluster],0)),""))</f>
        <v/>
      </c>
      <c r="C16" s="45">
        <f>IF(A16="","",IFERROR(SUMIF(tDatastores[Cluster],A16,tDatastores[Capacity TB]),0))</f>
        <v/>
      </c>
      <c r="D16" s="33">
        <f>IF(A16="","",IFERROR(SUMIF(tDatastores[Cluster],A16,tDatastores[Capacity]),0))</f>
        <v/>
      </c>
      <c r="E16" s="33">
        <f>IF(A16="","",IFERROR(SUMIF(tDatastores[Cluster],A16,tDatastores[Free]),0))</f>
        <v/>
      </c>
      <c r="F16" s="33">
        <f>IF(A16="","",IFERROR(D16-E16,0))</f>
        <v/>
      </c>
      <c r="G16" s="34">
        <f>IF(A16="","",IFERROR(F16/D16,0))</f>
        <v/>
      </c>
      <c r="H16" s="32">
        <f>IF(A16="","",IF(G16&lt;0.7,"✅ OK",IF(G16&lt;0.85,"⚠️ Warning","🔴 Critique")))</f>
        <v/>
      </c>
      <c r="I16" s="33">
        <f>IF(A16="","",COUNTIF(tDatastores[Cluster],A16))</f>
        <v/>
      </c>
      <c r="J16" s="33">
        <f>IF(A16="","",COUNTIFS(tDatastores[Cluster],A16,tDatastores[Status],"red")+COUNTIFS(tDatastores[Cluster],A16,tDatastores[Status],"yellow"))</f>
        <v/>
      </c>
      <c r="K16" s="32">
        <f>IF(A16="","",IF(G16&gt;0.9,"🔴 Critique",IF(G16&gt;0.8,"⚠️ Warning","✅ OK")))</f>
        <v/>
      </c>
    </row>
    <row r="17" ht="18" customHeight="1">
      <c r="A17" s="35">
        <f>IFERROR(INDEX(tDatastores[Cluster],MATCH(0,COUNTIF($A$12:$A$16,tDatastores[Cluster]),0)),"")</f>
        <v/>
      </c>
      <c r="B17" s="36">
        <f>IF(A17="","",IFERROR(INDEX(tDatastores[Type],MATCH(A17,tDatastores[Cluster],0)),""))</f>
        <v/>
      </c>
      <c r="C17" s="46">
        <f>IF(A17="","",IFERROR(SUMIF(tDatastores[Cluster],A17,tDatastores[Capacity TB]),0))</f>
        <v/>
      </c>
      <c r="D17" s="37">
        <f>IF(A17="","",IFERROR(SUMIF(tDatastores[Cluster],A17,tDatastores[Capacity]),0))</f>
        <v/>
      </c>
      <c r="E17" s="37">
        <f>IF(A17="","",IFERROR(SUMIF(tDatastores[Cluster],A17,tDatastores[Free]),0))</f>
        <v/>
      </c>
      <c r="F17" s="37">
        <f>IF(A17="","",IFERROR(D17-E17,0))</f>
        <v/>
      </c>
      <c r="G17" s="38">
        <f>IF(A17="","",IFERROR(F17/D17,0))</f>
        <v/>
      </c>
      <c r="H17" s="36">
        <f>IF(A17="","",IF(G17&lt;0.7,"✅ OK",IF(G17&lt;0.85,"⚠️ Warning","🔴 Critique")))</f>
        <v/>
      </c>
      <c r="I17" s="37">
        <f>IF(A17="","",COUNTIF(tDatastores[Cluster],A17))</f>
        <v/>
      </c>
      <c r="J17" s="37">
        <f>IF(A17="","",COUNTIFS(tDatastores[Cluster],A17,tDatastores[Status],"red")+COUNTIFS(tDatastores[Cluster],A17,tDatastores[Status],"yellow"))</f>
        <v/>
      </c>
      <c r="K17" s="36">
        <f>IF(A17="","",IF(G17&gt;0.9,"🔴 Critique",IF(G17&gt;0.8,"⚠️ Warning","✅ OK")))</f>
        <v/>
      </c>
    </row>
    <row r="18" ht="18" customHeight="1">
      <c r="A18" s="31">
        <f>IFERROR(INDEX(tDatastores[Cluster],MATCH(0,COUNTIF($A$12:$A$17,tDatastores[Cluster]),0)),"")</f>
        <v/>
      </c>
      <c r="B18" s="32">
        <f>IF(A18="","",IFERROR(INDEX(tDatastores[Type],MATCH(A18,tDatastores[Cluster],0)),""))</f>
        <v/>
      </c>
      <c r="C18" s="45">
        <f>IF(A18="","",IFERROR(SUMIF(tDatastores[Cluster],A18,tDatastores[Capacity TB]),0))</f>
        <v/>
      </c>
      <c r="D18" s="33">
        <f>IF(A18="","",IFERROR(SUMIF(tDatastores[Cluster],A18,tDatastores[Capacity]),0))</f>
        <v/>
      </c>
      <c r="E18" s="33">
        <f>IF(A18="","",IFERROR(SUMIF(tDatastores[Cluster],A18,tDatastores[Free]),0))</f>
        <v/>
      </c>
      <c r="F18" s="33">
        <f>IF(A18="","",IFERROR(D18-E18,0))</f>
        <v/>
      </c>
      <c r="G18" s="34">
        <f>IF(A18="","",IFERROR(F18/D18,0))</f>
        <v/>
      </c>
      <c r="H18" s="32">
        <f>IF(A18="","",IF(G18&lt;0.7,"✅ OK",IF(G18&lt;0.85,"⚠️ Warning","🔴 Critique")))</f>
        <v/>
      </c>
      <c r="I18" s="33">
        <f>IF(A18="","",COUNTIF(tDatastores[Cluster],A18))</f>
        <v/>
      </c>
      <c r="J18" s="33">
        <f>IF(A18="","",COUNTIFS(tDatastores[Cluster],A18,tDatastores[Status],"red")+COUNTIFS(tDatastores[Cluster],A18,tDatastores[Status],"yellow"))</f>
        <v/>
      </c>
      <c r="K18" s="32">
        <f>IF(A18="","",IF(G18&gt;0.9,"🔴 Critique",IF(G18&gt;0.8,"⚠️ Warning","✅ OK")))</f>
        <v/>
      </c>
    </row>
    <row r="19" ht="18" customHeight="1">
      <c r="A19" s="35">
        <f>IFERROR(INDEX(tDatastores[Cluster],MATCH(0,COUNTIF($A$12:$A$18,tDatastores[Cluster]),0)),"")</f>
        <v/>
      </c>
      <c r="B19" s="36">
        <f>IF(A19="","",IFERROR(INDEX(tDatastores[Type],MATCH(A19,tDatastores[Cluster],0)),""))</f>
        <v/>
      </c>
      <c r="C19" s="46">
        <f>IF(A19="","",IFERROR(SUMIF(tDatastores[Cluster],A19,tDatastores[Capacity TB]),0))</f>
        <v/>
      </c>
      <c r="D19" s="37">
        <f>IF(A19="","",IFERROR(SUMIF(tDatastores[Cluster],A19,tDatastores[Capacity]),0))</f>
        <v/>
      </c>
      <c r="E19" s="37">
        <f>IF(A19="","",IFERROR(SUMIF(tDatastores[Cluster],A19,tDatastores[Free]),0))</f>
        <v/>
      </c>
      <c r="F19" s="37">
        <f>IF(A19="","",IFERROR(D19-E19,0))</f>
        <v/>
      </c>
      <c r="G19" s="38">
        <f>IF(A19="","",IFERROR(F19/D19,0))</f>
        <v/>
      </c>
      <c r="H19" s="36">
        <f>IF(A19="","",IF(G19&lt;0.7,"✅ OK",IF(G19&lt;0.85,"⚠️ Warning","🔴 Critique")))</f>
        <v/>
      </c>
      <c r="I19" s="37">
        <f>IF(A19="","",COUNTIF(tDatastores[Cluster],A19))</f>
        <v/>
      </c>
      <c r="J19" s="37">
        <f>IF(A19="","",COUNTIFS(tDatastores[Cluster],A19,tDatastores[Status],"red")+COUNTIFS(tDatastores[Cluster],A19,tDatastores[Status],"yellow"))</f>
        <v/>
      </c>
      <c r="K19" s="36">
        <f>IF(A19="","",IF(G19&gt;0.9,"🔴 Critique",IF(G19&gt;0.8,"⚠️ Warning","✅ OK")))</f>
        <v/>
      </c>
    </row>
    <row r="20" ht="18" customHeight="1">
      <c r="A20" s="31">
        <f>IFERROR(INDEX(tDatastores[Cluster],MATCH(0,COUNTIF($A$12:$A$19,tDatastores[Cluster]),0)),"")</f>
        <v/>
      </c>
      <c r="B20" s="32">
        <f>IF(A20="","",IFERROR(INDEX(tDatastores[Type],MATCH(A20,tDatastores[Cluster],0)),""))</f>
        <v/>
      </c>
      <c r="C20" s="45">
        <f>IF(A20="","",IFERROR(SUMIF(tDatastores[Cluster],A20,tDatastores[Capacity TB]),0))</f>
        <v/>
      </c>
      <c r="D20" s="33">
        <f>IF(A20="","",IFERROR(SUMIF(tDatastores[Cluster],A20,tDatastores[Capacity]),0))</f>
        <v/>
      </c>
      <c r="E20" s="33">
        <f>IF(A20="","",IFERROR(SUMIF(tDatastores[Cluster],A20,tDatastores[Free]),0))</f>
        <v/>
      </c>
      <c r="F20" s="33">
        <f>IF(A20="","",IFERROR(D20-E20,0))</f>
        <v/>
      </c>
      <c r="G20" s="34">
        <f>IF(A20="","",IFERROR(F20/D20,0))</f>
        <v/>
      </c>
      <c r="H20" s="32">
        <f>IF(A20="","",IF(G20&lt;0.7,"✅ OK",IF(G20&lt;0.85,"⚠️ Warning","🔴 Critique")))</f>
        <v/>
      </c>
      <c r="I20" s="33">
        <f>IF(A20="","",COUNTIF(tDatastores[Cluster],A20))</f>
        <v/>
      </c>
      <c r="J20" s="33">
        <f>IF(A20="","",COUNTIFS(tDatastores[Cluster],A20,tDatastores[Status],"red")+COUNTIFS(tDatastores[Cluster],A20,tDatastores[Status],"yellow"))</f>
        <v/>
      </c>
      <c r="K20" s="32">
        <f>IF(A20="","",IF(G20&gt;0.9,"🔴 Critique",IF(G20&gt;0.8,"⚠️ Warning","✅ OK")))</f>
        <v/>
      </c>
    </row>
    <row r="21" ht="18" customHeight="1">
      <c r="A21" s="35">
        <f>IFERROR(INDEX(tDatastores[Cluster],MATCH(0,COUNTIF($A$12:$A$20,tDatastores[Cluster]),0)),"")</f>
        <v/>
      </c>
      <c r="B21" s="36">
        <f>IF(A21="","",IFERROR(INDEX(tDatastores[Type],MATCH(A21,tDatastores[Cluster],0)),""))</f>
        <v/>
      </c>
      <c r="C21" s="46">
        <f>IF(A21="","",IFERROR(SUMIF(tDatastores[Cluster],A21,tDatastores[Capacity TB]),0))</f>
        <v/>
      </c>
      <c r="D21" s="37">
        <f>IF(A21="","",IFERROR(SUMIF(tDatastores[Cluster],A21,tDatastores[Capacity]),0))</f>
        <v/>
      </c>
      <c r="E21" s="37">
        <f>IF(A21="","",IFERROR(SUMIF(tDatastores[Cluster],A21,tDatastores[Free]),0))</f>
        <v/>
      </c>
      <c r="F21" s="37">
        <f>IF(A21="","",IFERROR(D21-E21,0))</f>
        <v/>
      </c>
      <c r="G21" s="38">
        <f>IF(A21="","",IFERROR(F21/D21,0))</f>
        <v/>
      </c>
      <c r="H21" s="36">
        <f>IF(A21="","",IF(G21&lt;0.7,"✅ OK",IF(G21&lt;0.85,"⚠️ Warning","🔴 Critique")))</f>
        <v/>
      </c>
      <c r="I21" s="37">
        <f>IF(A21="","",COUNTIF(tDatastores[Cluster],A21))</f>
        <v/>
      </c>
      <c r="J21" s="37">
        <f>IF(A21="","",COUNTIFS(tDatastores[Cluster],A21,tDatastores[Status],"red")+COUNTIFS(tDatastores[Cluster],A21,tDatastores[Status],"yellow"))</f>
        <v/>
      </c>
      <c r="K21" s="36">
        <f>IF(A21="","",IF(G21&gt;0.9,"🔴 Critique",IF(G21&gt;0.8,"⚠️ Warning","✅ OK")))</f>
        <v/>
      </c>
    </row>
    <row r="22" ht="18" customHeight="1">
      <c r="A22" s="31">
        <f>IFERROR(INDEX(tDatastores[Cluster],MATCH(0,COUNTIF($A$12:$A$21,tDatastores[Cluster]),0)),"")</f>
        <v/>
      </c>
      <c r="B22" s="32">
        <f>IF(A22="","",IFERROR(INDEX(tDatastores[Type],MATCH(A22,tDatastores[Cluster],0)),""))</f>
        <v/>
      </c>
      <c r="C22" s="45">
        <f>IF(A22="","",IFERROR(SUMIF(tDatastores[Cluster],A22,tDatastores[Capacity TB]),0))</f>
        <v/>
      </c>
      <c r="D22" s="33">
        <f>IF(A22="","",IFERROR(SUMIF(tDatastores[Cluster],A22,tDatastores[Capacity]),0))</f>
        <v/>
      </c>
      <c r="E22" s="33">
        <f>IF(A22="","",IFERROR(SUMIF(tDatastores[Cluster],A22,tDatastores[Free]),0))</f>
        <v/>
      </c>
      <c r="F22" s="33">
        <f>IF(A22="","",IFERROR(D22-E22,0))</f>
        <v/>
      </c>
      <c r="G22" s="34">
        <f>IF(A22="","",IFERROR(F22/D22,0))</f>
        <v/>
      </c>
      <c r="H22" s="32">
        <f>IF(A22="","",IF(G22&lt;0.7,"✅ OK",IF(G22&lt;0.85,"⚠️ Warning","🔴 Critique")))</f>
        <v/>
      </c>
      <c r="I22" s="33">
        <f>IF(A22="","",COUNTIF(tDatastores[Cluster],A22))</f>
        <v/>
      </c>
      <c r="J22" s="33">
        <f>IF(A22="","",COUNTIFS(tDatastores[Cluster],A22,tDatastores[Status],"red")+COUNTIFS(tDatastores[Cluster],A22,tDatastores[Status],"yellow"))</f>
        <v/>
      </c>
      <c r="K22" s="32">
        <f>IF(A22="","",IF(G22&gt;0.9,"🔴 Critique",IF(G22&gt;0.8,"⚠️ Warning","✅ OK")))</f>
        <v/>
      </c>
    </row>
    <row r="23" ht="18" customHeight="1">
      <c r="A23" s="35">
        <f>IFERROR(INDEX(tDatastores[Cluster],MATCH(0,COUNTIF($A$12:$A$22,tDatastores[Cluster]),0)),"")</f>
        <v/>
      </c>
      <c r="B23" s="36">
        <f>IF(A23="","",IFERROR(INDEX(tDatastores[Type],MATCH(A23,tDatastores[Cluster],0)),""))</f>
        <v/>
      </c>
      <c r="C23" s="46">
        <f>IF(A23="","",IFERROR(SUMIF(tDatastores[Cluster],A23,tDatastores[Capacity TB]),0))</f>
        <v/>
      </c>
      <c r="D23" s="37">
        <f>IF(A23="","",IFERROR(SUMIF(tDatastores[Cluster],A23,tDatastores[Capacity]),0))</f>
        <v/>
      </c>
      <c r="E23" s="37">
        <f>IF(A23="","",IFERROR(SUMIF(tDatastores[Cluster],A23,tDatastores[Free]),0))</f>
        <v/>
      </c>
      <c r="F23" s="37">
        <f>IF(A23="","",IFERROR(D23-E23,0))</f>
        <v/>
      </c>
      <c r="G23" s="38">
        <f>IF(A23="","",IFERROR(F23/D23,0))</f>
        <v/>
      </c>
      <c r="H23" s="36">
        <f>IF(A23="","",IF(G23&lt;0.7,"✅ OK",IF(G23&lt;0.85,"⚠️ Warning","🔴 Critique")))</f>
        <v/>
      </c>
      <c r="I23" s="37">
        <f>IF(A23="","",COUNTIF(tDatastores[Cluster],A23))</f>
        <v/>
      </c>
      <c r="J23" s="37">
        <f>IF(A23="","",COUNTIFS(tDatastores[Cluster],A23,tDatastores[Status],"red")+COUNTIFS(tDatastores[Cluster],A23,tDatastores[Status],"yellow"))</f>
        <v/>
      </c>
      <c r="K23" s="36">
        <f>IF(A23="","",IF(G23&gt;0.9,"🔴 Critique",IF(G23&gt;0.8,"⚠️ Warning","✅ OK")))</f>
        <v/>
      </c>
    </row>
    <row r="24" ht="18" customHeight="1">
      <c r="A24" s="31">
        <f>IFERROR(INDEX(tDatastores[Cluster],MATCH(0,COUNTIF($A$12:$A$23,tDatastores[Cluster]),0)),"")</f>
        <v/>
      </c>
      <c r="B24" s="32">
        <f>IF(A24="","",IFERROR(INDEX(tDatastores[Type],MATCH(A24,tDatastores[Cluster],0)),""))</f>
        <v/>
      </c>
      <c r="C24" s="45">
        <f>IF(A24="","",IFERROR(SUMIF(tDatastores[Cluster],A24,tDatastores[Capacity TB]),0))</f>
        <v/>
      </c>
      <c r="D24" s="33">
        <f>IF(A24="","",IFERROR(SUMIF(tDatastores[Cluster],A24,tDatastores[Capacity]),0))</f>
        <v/>
      </c>
      <c r="E24" s="33">
        <f>IF(A24="","",IFERROR(SUMIF(tDatastores[Cluster],A24,tDatastores[Free]),0))</f>
        <v/>
      </c>
      <c r="F24" s="33">
        <f>IF(A24="","",IFERROR(D24-E24,0))</f>
        <v/>
      </c>
      <c r="G24" s="34">
        <f>IF(A24="","",IFERROR(F24/D24,0))</f>
        <v/>
      </c>
      <c r="H24" s="32">
        <f>IF(A24="","",IF(G24&lt;0.7,"✅ OK",IF(G24&lt;0.85,"⚠️ Warning","🔴 Critique")))</f>
        <v/>
      </c>
      <c r="I24" s="33">
        <f>IF(A24="","",COUNTIF(tDatastores[Cluster],A24))</f>
        <v/>
      </c>
      <c r="J24" s="33">
        <f>IF(A24="","",COUNTIFS(tDatastores[Cluster],A24,tDatastores[Status],"red")+COUNTIFS(tDatastores[Cluster],A24,tDatastores[Status],"yellow"))</f>
        <v/>
      </c>
      <c r="K24" s="32">
        <f>IF(A24="","",IF(G24&gt;0.9,"🔴 Critique",IF(G24&gt;0.8,"⚠️ Warning","✅ OK")))</f>
        <v/>
      </c>
    </row>
    <row r="25" ht="18" customHeight="1">
      <c r="A25" s="35">
        <f>IFERROR(INDEX(tDatastores[Cluster],MATCH(0,COUNTIF($A$12:$A$24,tDatastores[Cluster]),0)),"")</f>
        <v/>
      </c>
      <c r="B25" s="36">
        <f>IF(A25="","",IFERROR(INDEX(tDatastores[Type],MATCH(A25,tDatastores[Cluster],0)),""))</f>
        <v/>
      </c>
      <c r="C25" s="46">
        <f>IF(A25="","",IFERROR(SUMIF(tDatastores[Cluster],A25,tDatastores[Capacity TB]),0))</f>
        <v/>
      </c>
      <c r="D25" s="37">
        <f>IF(A25="","",IFERROR(SUMIF(tDatastores[Cluster],A25,tDatastores[Capacity]),0))</f>
        <v/>
      </c>
      <c r="E25" s="37">
        <f>IF(A25="","",IFERROR(SUMIF(tDatastores[Cluster],A25,tDatastores[Free]),0))</f>
        <v/>
      </c>
      <c r="F25" s="37">
        <f>IF(A25="","",IFERROR(D25-E25,0))</f>
        <v/>
      </c>
      <c r="G25" s="38">
        <f>IF(A25="","",IFERROR(F25/D25,0))</f>
        <v/>
      </c>
      <c r="H25" s="36">
        <f>IF(A25="","",IF(G25&lt;0.7,"✅ OK",IF(G25&lt;0.85,"⚠️ Warning","🔴 Critique")))</f>
        <v/>
      </c>
      <c r="I25" s="37">
        <f>IF(A25="","",COUNTIF(tDatastores[Cluster],A25))</f>
        <v/>
      </c>
      <c r="J25" s="37">
        <f>IF(A25="","",COUNTIFS(tDatastores[Cluster],A25,tDatastores[Status],"red")+COUNTIFS(tDatastores[Cluster],A25,tDatastores[Status],"yellow"))</f>
        <v/>
      </c>
      <c r="K25" s="36">
        <f>IF(A25="","",IF(G25&gt;0.9,"🔴 Critique",IF(G25&gt;0.8,"⚠️ Warning","✅ OK")))</f>
        <v/>
      </c>
    </row>
    <row r="26" ht="18" customHeight="1">
      <c r="A26" s="31">
        <f>IFERROR(INDEX(tDatastores[Cluster],MATCH(0,COUNTIF($A$12:$A$25,tDatastores[Cluster]),0)),"")</f>
        <v/>
      </c>
      <c r="B26" s="32">
        <f>IF(A26="","",IFERROR(INDEX(tDatastores[Type],MATCH(A26,tDatastores[Cluster],0)),""))</f>
        <v/>
      </c>
      <c r="C26" s="45">
        <f>IF(A26="","",IFERROR(SUMIF(tDatastores[Cluster],A26,tDatastores[Capacity TB]),0))</f>
        <v/>
      </c>
      <c r="D26" s="33">
        <f>IF(A26="","",IFERROR(SUMIF(tDatastores[Cluster],A26,tDatastores[Capacity]),0))</f>
        <v/>
      </c>
      <c r="E26" s="33">
        <f>IF(A26="","",IFERROR(SUMIF(tDatastores[Cluster],A26,tDatastores[Free]),0))</f>
        <v/>
      </c>
      <c r="F26" s="33">
        <f>IF(A26="","",IFERROR(D26-E26,0))</f>
        <v/>
      </c>
      <c r="G26" s="34">
        <f>IF(A26="","",IFERROR(F26/D26,0))</f>
        <v/>
      </c>
      <c r="H26" s="32">
        <f>IF(A26="","",IF(G26&lt;0.7,"✅ OK",IF(G26&lt;0.85,"⚠️ Warning","🔴 Critique")))</f>
        <v/>
      </c>
      <c r="I26" s="33">
        <f>IF(A26="","",COUNTIF(tDatastores[Cluster],A26))</f>
        <v/>
      </c>
      <c r="J26" s="33">
        <f>IF(A26="","",COUNTIFS(tDatastores[Cluster],A26,tDatastores[Status],"red")+COUNTIFS(tDatastores[Cluster],A26,tDatastores[Status],"yellow"))</f>
        <v/>
      </c>
      <c r="K26" s="32">
        <f>IF(A26="","",IF(G26&gt;0.9,"🔴 Critique",IF(G26&gt;0.8,"⚠️ Warning","✅ OK")))</f>
        <v/>
      </c>
    </row>
    <row r="27" ht="18" customHeight="1">
      <c r="A27" s="35">
        <f>IFERROR(INDEX(tDatastores[Cluster],MATCH(0,COUNTIF($A$12:$A$26,tDatastores[Cluster]),0)),"")</f>
        <v/>
      </c>
      <c r="B27" s="36">
        <f>IF(A27="","",IFERROR(INDEX(tDatastores[Type],MATCH(A27,tDatastores[Cluster],0)),""))</f>
        <v/>
      </c>
      <c r="C27" s="46">
        <f>IF(A27="","",IFERROR(SUMIF(tDatastores[Cluster],A27,tDatastores[Capacity TB]),0))</f>
        <v/>
      </c>
      <c r="D27" s="37">
        <f>IF(A27="","",IFERROR(SUMIF(tDatastores[Cluster],A27,tDatastores[Capacity]),0))</f>
        <v/>
      </c>
      <c r="E27" s="37">
        <f>IF(A27="","",IFERROR(SUMIF(tDatastores[Cluster],A27,tDatastores[Free]),0))</f>
        <v/>
      </c>
      <c r="F27" s="37">
        <f>IF(A27="","",IFERROR(D27-E27,0))</f>
        <v/>
      </c>
      <c r="G27" s="38">
        <f>IF(A27="","",IFERROR(F27/D27,0))</f>
        <v/>
      </c>
      <c r="H27" s="36">
        <f>IF(A27="","",IF(G27&lt;0.7,"✅ OK",IF(G27&lt;0.85,"⚠️ Warning","🔴 Critique")))</f>
        <v/>
      </c>
      <c r="I27" s="37">
        <f>IF(A27="","",COUNTIF(tDatastores[Cluster],A27))</f>
        <v/>
      </c>
      <c r="J27" s="37">
        <f>IF(A27="","",COUNTIFS(tDatastores[Cluster],A27,tDatastores[Status],"red")+COUNTIFS(tDatastores[Cluster],A27,tDatastores[Status],"yellow"))</f>
        <v/>
      </c>
      <c r="K27" s="36">
        <f>IF(A27="","",IF(G27&gt;0.9,"🔴 Critique",IF(G27&gt;0.8,"⚠️ Warning","✅ OK")))</f>
        <v/>
      </c>
    </row>
    <row r="28" ht="18" customHeight="1">
      <c r="A28" s="31">
        <f>IFERROR(INDEX(tDatastores[Cluster],MATCH(0,COUNTIF($A$12:$A$27,tDatastores[Cluster]),0)),"")</f>
        <v/>
      </c>
      <c r="B28" s="32">
        <f>IF(A28="","",IFERROR(INDEX(tDatastores[Type],MATCH(A28,tDatastores[Cluster],0)),""))</f>
        <v/>
      </c>
      <c r="C28" s="45">
        <f>IF(A28="","",IFERROR(SUMIF(tDatastores[Cluster],A28,tDatastores[Capacity TB]),0))</f>
        <v/>
      </c>
      <c r="D28" s="33">
        <f>IF(A28="","",IFERROR(SUMIF(tDatastores[Cluster],A28,tDatastores[Capacity]),0))</f>
        <v/>
      </c>
      <c r="E28" s="33">
        <f>IF(A28="","",IFERROR(SUMIF(tDatastores[Cluster],A28,tDatastores[Free]),0))</f>
        <v/>
      </c>
      <c r="F28" s="33">
        <f>IF(A28="","",IFERROR(D28-E28,0))</f>
        <v/>
      </c>
      <c r="G28" s="34">
        <f>IF(A28="","",IFERROR(F28/D28,0))</f>
        <v/>
      </c>
      <c r="H28" s="32">
        <f>IF(A28="","",IF(G28&lt;0.7,"✅ OK",IF(G28&lt;0.85,"⚠️ Warning","🔴 Critique")))</f>
        <v/>
      </c>
      <c r="I28" s="33">
        <f>IF(A28="","",COUNTIF(tDatastores[Cluster],A28))</f>
        <v/>
      </c>
      <c r="J28" s="33">
        <f>IF(A28="","",COUNTIFS(tDatastores[Cluster],A28,tDatastores[Status],"red")+COUNTIFS(tDatastores[Cluster],A28,tDatastores[Status],"yellow"))</f>
        <v/>
      </c>
      <c r="K28" s="32">
        <f>IF(A28="","",IF(G28&gt;0.9,"🔴 Critique",IF(G28&gt;0.8,"⚠️ Warning","✅ OK")))</f>
        <v/>
      </c>
    </row>
    <row r="29" ht="18" customHeight="1">
      <c r="A29" s="35">
        <f>IFERROR(INDEX(tDatastores[Cluster],MATCH(0,COUNTIF($A$12:$A$28,tDatastores[Cluster]),0)),"")</f>
        <v/>
      </c>
      <c r="B29" s="36">
        <f>IF(A29="","",IFERROR(INDEX(tDatastores[Type],MATCH(A29,tDatastores[Cluster],0)),""))</f>
        <v/>
      </c>
      <c r="C29" s="46">
        <f>IF(A29="","",IFERROR(SUMIF(tDatastores[Cluster],A29,tDatastores[Capacity TB]),0))</f>
        <v/>
      </c>
      <c r="D29" s="37">
        <f>IF(A29="","",IFERROR(SUMIF(tDatastores[Cluster],A29,tDatastores[Capacity]),0))</f>
        <v/>
      </c>
      <c r="E29" s="37">
        <f>IF(A29="","",IFERROR(SUMIF(tDatastores[Cluster],A29,tDatastores[Free]),0))</f>
        <v/>
      </c>
      <c r="F29" s="37">
        <f>IF(A29="","",IFERROR(D29-E29,0))</f>
        <v/>
      </c>
      <c r="G29" s="38">
        <f>IF(A29="","",IFERROR(F29/D29,0))</f>
        <v/>
      </c>
      <c r="H29" s="36">
        <f>IF(A29="","",IF(G29&lt;0.7,"✅ OK",IF(G29&lt;0.85,"⚠️ Warning","🔴 Critique")))</f>
        <v/>
      </c>
      <c r="I29" s="37">
        <f>IF(A29="","",COUNTIF(tDatastores[Cluster],A29))</f>
        <v/>
      </c>
      <c r="J29" s="37">
        <f>IF(A29="","",COUNTIFS(tDatastores[Cluster],A29,tDatastores[Status],"red")+COUNTIFS(tDatastores[Cluster],A29,tDatastores[Status],"yellow"))</f>
        <v/>
      </c>
      <c r="K29" s="36">
        <f>IF(A29="","",IF(G29&gt;0.9,"🔴 Critique",IF(G29&gt;0.8,"⚠️ Warning","✅ OK")))</f>
        <v/>
      </c>
    </row>
    <row r="30" ht="18" customHeight="1">
      <c r="A30" s="31">
        <f>IFERROR(INDEX(tDatastores[Cluster],MATCH(0,COUNTIF($A$12:$A$29,tDatastores[Cluster]),0)),"")</f>
        <v/>
      </c>
      <c r="B30" s="32">
        <f>IF(A30="","",IFERROR(INDEX(tDatastores[Type],MATCH(A30,tDatastores[Cluster],0)),""))</f>
        <v/>
      </c>
      <c r="C30" s="45">
        <f>IF(A30="","",IFERROR(SUMIF(tDatastores[Cluster],A30,tDatastores[Capacity TB]),0))</f>
        <v/>
      </c>
      <c r="D30" s="33">
        <f>IF(A30="","",IFERROR(SUMIF(tDatastores[Cluster],A30,tDatastores[Capacity]),0))</f>
        <v/>
      </c>
      <c r="E30" s="33">
        <f>IF(A30="","",IFERROR(SUMIF(tDatastores[Cluster],A30,tDatastores[Free]),0))</f>
        <v/>
      </c>
      <c r="F30" s="33">
        <f>IF(A30="","",IFERROR(D30-E30,0))</f>
        <v/>
      </c>
      <c r="G30" s="34">
        <f>IF(A30="","",IFERROR(F30/D30,0))</f>
        <v/>
      </c>
      <c r="H30" s="32">
        <f>IF(A30="","",IF(G30&lt;0.7,"✅ OK",IF(G30&lt;0.85,"⚠️ Warning","🔴 Critique")))</f>
        <v/>
      </c>
      <c r="I30" s="33">
        <f>IF(A30="","",COUNTIF(tDatastores[Cluster],A30))</f>
        <v/>
      </c>
      <c r="J30" s="33">
        <f>IF(A30="","",COUNTIFS(tDatastores[Cluster],A30,tDatastores[Status],"red")+COUNTIFS(tDatastores[Cluster],A30,tDatastores[Status],"yellow"))</f>
        <v/>
      </c>
      <c r="K30" s="32">
        <f>IF(A30="","",IF(G30&gt;0.9,"🔴 Critique",IF(G30&gt;0.8,"⚠️ Warning","✅ OK")))</f>
        <v/>
      </c>
    </row>
    <row r="31" ht="18" customHeight="1">
      <c r="A31" s="35">
        <f>IFERROR(INDEX(tDatastores[Cluster],MATCH(0,COUNTIF($A$12:$A$30,tDatastores[Cluster]),0)),"")</f>
        <v/>
      </c>
      <c r="B31" s="36">
        <f>IF(A31="","",IFERROR(INDEX(tDatastores[Type],MATCH(A31,tDatastores[Cluster],0)),""))</f>
        <v/>
      </c>
      <c r="C31" s="46">
        <f>IF(A31="","",IFERROR(SUMIF(tDatastores[Cluster],A31,tDatastores[Capacity TB]),0))</f>
        <v/>
      </c>
      <c r="D31" s="37">
        <f>IF(A31="","",IFERROR(SUMIF(tDatastores[Cluster],A31,tDatastores[Capacity]),0))</f>
        <v/>
      </c>
      <c r="E31" s="37">
        <f>IF(A31="","",IFERROR(SUMIF(tDatastores[Cluster],A31,tDatastores[Free]),0))</f>
        <v/>
      </c>
      <c r="F31" s="37">
        <f>IF(A31="","",IFERROR(D31-E31,0))</f>
        <v/>
      </c>
      <c r="G31" s="38">
        <f>IF(A31="","",IFERROR(F31/D31,0))</f>
        <v/>
      </c>
      <c r="H31" s="36">
        <f>IF(A31="","",IF(G31&lt;0.7,"✅ OK",IF(G31&lt;0.85,"⚠️ Warning","🔴 Critique")))</f>
        <v/>
      </c>
      <c r="I31" s="37">
        <f>IF(A31="","",COUNTIF(tDatastores[Cluster],A31))</f>
        <v/>
      </c>
      <c r="J31" s="37">
        <f>IF(A31="","",COUNTIFS(tDatastores[Cluster],A31,tDatastores[Status],"red")+COUNTIFS(tDatastores[Cluster],A31,tDatastores[Status],"yellow"))</f>
        <v/>
      </c>
      <c r="K31" s="36">
        <f>IF(A31="","",IF(G31&gt;0.9,"🔴 Critique",IF(G31&gt;0.8,"⚠️ Warning","✅ OK")))</f>
        <v/>
      </c>
    </row>
    <row r="32" ht="18" customHeight="1">
      <c r="A32" s="31">
        <f>IFERROR(INDEX(tDatastores[Cluster],MATCH(0,COUNTIF($A$12:$A$31,tDatastores[Cluster]),0)),"")</f>
        <v/>
      </c>
      <c r="B32" s="32">
        <f>IF(A32="","",IFERROR(INDEX(tDatastores[Type],MATCH(A32,tDatastores[Cluster],0)),""))</f>
        <v/>
      </c>
      <c r="C32" s="45">
        <f>IF(A32="","",IFERROR(SUMIF(tDatastores[Cluster],A32,tDatastores[Capacity TB]),0))</f>
        <v/>
      </c>
      <c r="D32" s="33">
        <f>IF(A32="","",IFERROR(SUMIF(tDatastores[Cluster],A32,tDatastores[Capacity]),0))</f>
        <v/>
      </c>
      <c r="E32" s="33">
        <f>IF(A32="","",IFERROR(SUMIF(tDatastores[Cluster],A32,tDatastores[Free]),0))</f>
        <v/>
      </c>
      <c r="F32" s="33">
        <f>IF(A32="","",IFERROR(D32-E32,0))</f>
        <v/>
      </c>
      <c r="G32" s="34">
        <f>IF(A32="","",IFERROR(F32/D32,0))</f>
        <v/>
      </c>
      <c r="H32" s="32">
        <f>IF(A32="","",IF(G32&lt;0.7,"✅ OK",IF(G32&lt;0.85,"⚠️ Warning","🔴 Critique")))</f>
        <v/>
      </c>
      <c r="I32" s="33">
        <f>IF(A32="","",COUNTIF(tDatastores[Cluster],A32))</f>
        <v/>
      </c>
      <c r="J32" s="33">
        <f>IF(A32="","",COUNTIFS(tDatastores[Cluster],A32,tDatastores[Status],"red")+COUNTIFS(tDatastores[Cluster],A32,tDatastores[Status],"yellow"))</f>
        <v/>
      </c>
      <c r="K32" s="32">
        <f>IF(A32="","",IF(G32&gt;0.9,"🔴 Critique",IF(G32&gt;0.8,"⚠️ Warning","✅ OK")))</f>
        <v/>
      </c>
    </row>
    <row r="33" ht="18" customHeight="1">
      <c r="A33" s="35">
        <f>IFERROR(INDEX(tDatastores[Cluster],MATCH(0,COUNTIF($A$12:$A$32,tDatastores[Cluster]),0)),"")</f>
        <v/>
      </c>
      <c r="B33" s="36">
        <f>IF(A33="","",IFERROR(INDEX(tDatastores[Type],MATCH(A33,tDatastores[Cluster],0)),""))</f>
        <v/>
      </c>
      <c r="C33" s="46">
        <f>IF(A33="","",IFERROR(SUMIF(tDatastores[Cluster],A33,tDatastores[Capacity TB]),0))</f>
        <v/>
      </c>
      <c r="D33" s="37">
        <f>IF(A33="","",IFERROR(SUMIF(tDatastores[Cluster],A33,tDatastores[Capacity]),0))</f>
        <v/>
      </c>
      <c r="E33" s="37">
        <f>IF(A33="","",IFERROR(SUMIF(tDatastores[Cluster],A33,tDatastores[Free]),0))</f>
        <v/>
      </c>
      <c r="F33" s="37">
        <f>IF(A33="","",IFERROR(D33-E33,0))</f>
        <v/>
      </c>
      <c r="G33" s="38">
        <f>IF(A33="","",IFERROR(F33/D33,0))</f>
        <v/>
      </c>
      <c r="H33" s="36">
        <f>IF(A33="","",IF(G33&lt;0.7,"✅ OK",IF(G33&lt;0.85,"⚠️ Warning","🔴 Critique")))</f>
        <v/>
      </c>
      <c r="I33" s="37">
        <f>IF(A33="","",COUNTIF(tDatastores[Cluster],A33))</f>
        <v/>
      </c>
      <c r="J33" s="37">
        <f>IF(A33="","",COUNTIFS(tDatastores[Cluster],A33,tDatastores[Status],"red")+COUNTIFS(tDatastores[Cluster],A33,tDatastores[Status],"yellow"))</f>
        <v/>
      </c>
      <c r="K33" s="36">
        <f>IF(A33="","",IF(G33&gt;0.9,"🔴 Critique",IF(G33&gt;0.8,"⚠️ Warning","✅ OK")))</f>
        <v/>
      </c>
    </row>
    <row r="34" ht="18" customHeight="1">
      <c r="A34" s="31">
        <f>IFERROR(INDEX(tDatastores[Cluster],MATCH(0,COUNTIF($A$12:$A$33,tDatastores[Cluster]),0)),"")</f>
        <v/>
      </c>
      <c r="B34" s="32">
        <f>IF(A34="","",IFERROR(INDEX(tDatastores[Type],MATCH(A34,tDatastores[Cluster],0)),""))</f>
        <v/>
      </c>
      <c r="C34" s="45">
        <f>IF(A34="","",IFERROR(SUMIF(tDatastores[Cluster],A34,tDatastores[Capacity TB]),0))</f>
        <v/>
      </c>
      <c r="D34" s="33">
        <f>IF(A34="","",IFERROR(SUMIF(tDatastores[Cluster],A34,tDatastores[Capacity]),0))</f>
        <v/>
      </c>
      <c r="E34" s="33">
        <f>IF(A34="","",IFERROR(SUMIF(tDatastores[Cluster],A34,tDatastores[Free]),0))</f>
        <v/>
      </c>
      <c r="F34" s="33">
        <f>IF(A34="","",IFERROR(D34-E34,0))</f>
        <v/>
      </c>
      <c r="G34" s="34">
        <f>IF(A34="","",IFERROR(F34/D34,0))</f>
        <v/>
      </c>
      <c r="H34" s="32">
        <f>IF(A34="","",IF(G34&lt;0.7,"✅ OK",IF(G34&lt;0.85,"⚠️ Warning","🔴 Critique")))</f>
        <v/>
      </c>
      <c r="I34" s="33">
        <f>IF(A34="","",COUNTIF(tDatastores[Cluster],A34))</f>
        <v/>
      </c>
      <c r="J34" s="33">
        <f>IF(A34="","",COUNTIFS(tDatastores[Cluster],A34,tDatastores[Status],"red")+COUNTIFS(tDatastores[Cluster],A34,tDatastores[Status],"yellow"))</f>
        <v/>
      </c>
      <c r="K34" s="32">
        <f>IF(A34="","",IF(G34&gt;0.9,"🔴 Critique",IF(G34&gt;0.8,"⚠️ Warning","✅ OK")))</f>
        <v/>
      </c>
    </row>
    <row r="35" ht="18" customHeight="1">
      <c r="A35" s="35">
        <f>IFERROR(INDEX(tDatastores[Cluster],MATCH(0,COUNTIF($A$12:$A$34,tDatastores[Cluster]),0)),"")</f>
        <v/>
      </c>
      <c r="B35" s="36">
        <f>IF(A35="","",IFERROR(INDEX(tDatastores[Type],MATCH(A35,tDatastores[Cluster],0)),""))</f>
        <v/>
      </c>
      <c r="C35" s="46">
        <f>IF(A35="","",IFERROR(SUMIF(tDatastores[Cluster],A35,tDatastores[Capacity TB]),0))</f>
        <v/>
      </c>
      <c r="D35" s="37">
        <f>IF(A35="","",IFERROR(SUMIF(tDatastores[Cluster],A35,tDatastores[Capacity]),0))</f>
        <v/>
      </c>
      <c r="E35" s="37">
        <f>IF(A35="","",IFERROR(SUMIF(tDatastores[Cluster],A35,tDatastores[Free]),0))</f>
        <v/>
      </c>
      <c r="F35" s="37">
        <f>IF(A35="","",IFERROR(D35-E35,0))</f>
        <v/>
      </c>
      <c r="G35" s="38">
        <f>IF(A35="","",IFERROR(F35/D35,0))</f>
        <v/>
      </c>
      <c r="H35" s="36">
        <f>IF(A35="","",IF(G35&lt;0.7,"✅ OK",IF(G35&lt;0.85,"⚠️ Warning","🔴 Critique")))</f>
        <v/>
      </c>
      <c r="I35" s="37">
        <f>IF(A35="","",COUNTIF(tDatastores[Cluster],A35))</f>
        <v/>
      </c>
      <c r="J35" s="37">
        <f>IF(A35="","",COUNTIFS(tDatastores[Cluster],A35,tDatastores[Status],"red")+COUNTIFS(tDatastores[Cluster],A35,tDatastores[Status],"yellow"))</f>
        <v/>
      </c>
      <c r="K35" s="36">
        <f>IF(A35="","",IF(G35&gt;0.9,"🔴 Critique",IF(G35&gt;0.8,"⚠️ Warning","✅ OK")))</f>
        <v/>
      </c>
    </row>
    <row r="36" ht="18" customHeight="1">
      <c r="A36" s="31">
        <f>IFERROR(INDEX(tDatastores[Cluster],MATCH(0,COUNTIF($A$12:$A$35,tDatastores[Cluster]),0)),"")</f>
        <v/>
      </c>
      <c r="B36" s="32">
        <f>IF(A36="","",IFERROR(INDEX(tDatastores[Type],MATCH(A36,tDatastores[Cluster],0)),""))</f>
        <v/>
      </c>
      <c r="C36" s="45">
        <f>IF(A36="","",IFERROR(SUMIF(tDatastores[Cluster],A36,tDatastores[Capacity TB]),0))</f>
        <v/>
      </c>
      <c r="D36" s="33">
        <f>IF(A36="","",IFERROR(SUMIF(tDatastores[Cluster],A36,tDatastores[Capacity]),0))</f>
        <v/>
      </c>
      <c r="E36" s="33">
        <f>IF(A36="","",IFERROR(SUMIF(tDatastores[Cluster],A36,tDatastores[Free]),0))</f>
        <v/>
      </c>
      <c r="F36" s="33">
        <f>IF(A36="","",IFERROR(D36-E36,0))</f>
        <v/>
      </c>
      <c r="G36" s="34">
        <f>IF(A36="","",IFERROR(F36/D36,0))</f>
        <v/>
      </c>
      <c r="H36" s="32">
        <f>IF(A36="","",IF(G36&lt;0.7,"✅ OK",IF(G36&lt;0.85,"⚠️ Warning","🔴 Critique")))</f>
        <v/>
      </c>
      <c r="I36" s="33">
        <f>IF(A36="","",COUNTIF(tDatastores[Cluster],A36))</f>
        <v/>
      </c>
      <c r="J36" s="33">
        <f>IF(A36="","",COUNTIFS(tDatastores[Cluster],A36,tDatastores[Status],"red")+COUNTIFS(tDatastores[Cluster],A36,tDatastores[Status],"yellow"))</f>
        <v/>
      </c>
      <c r="K36" s="32">
        <f>IF(A36="","",IF(G36&gt;0.9,"🔴 Critique",IF(G36&gt;0.8,"⚠️ Warning","✅ OK")))</f>
        <v/>
      </c>
    </row>
    <row r="37" ht="18" customHeight="1">
      <c r="A37" s="35">
        <f>IFERROR(INDEX(tDatastores[Cluster],MATCH(0,COUNTIF($A$12:$A$36,tDatastores[Cluster]),0)),"")</f>
        <v/>
      </c>
      <c r="B37" s="36">
        <f>IF(A37="","",IFERROR(INDEX(tDatastores[Type],MATCH(A37,tDatastores[Cluster],0)),""))</f>
        <v/>
      </c>
      <c r="C37" s="46">
        <f>IF(A37="","",IFERROR(SUMIF(tDatastores[Cluster],A37,tDatastores[Capacity TB]),0))</f>
        <v/>
      </c>
      <c r="D37" s="37">
        <f>IF(A37="","",IFERROR(SUMIF(tDatastores[Cluster],A37,tDatastores[Capacity]),0))</f>
        <v/>
      </c>
      <c r="E37" s="37">
        <f>IF(A37="","",IFERROR(SUMIF(tDatastores[Cluster],A37,tDatastores[Free]),0))</f>
        <v/>
      </c>
      <c r="F37" s="37">
        <f>IF(A37="","",IFERROR(D37-E37,0))</f>
        <v/>
      </c>
      <c r="G37" s="38">
        <f>IF(A37="","",IFERROR(F37/D37,0))</f>
        <v/>
      </c>
      <c r="H37" s="36">
        <f>IF(A37="","",IF(G37&lt;0.7,"✅ OK",IF(G37&lt;0.85,"⚠️ Warning","🔴 Critique")))</f>
        <v/>
      </c>
      <c r="I37" s="37">
        <f>IF(A37="","",COUNTIF(tDatastores[Cluster],A37))</f>
        <v/>
      </c>
      <c r="J37" s="37">
        <f>IF(A37="","",COUNTIFS(tDatastores[Cluster],A37,tDatastores[Status],"red")+COUNTIFS(tDatastores[Cluster],A37,tDatastores[Status],"yellow"))</f>
        <v/>
      </c>
      <c r="K37" s="36">
        <f>IF(A37="","",IF(G37&gt;0.9,"🔴 Critique",IF(G37&gt;0.8,"⚠️ Warning","✅ OK")))</f>
        <v/>
      </c>
    </row>
    <row r="38" ht="18" customHeight="1">
      <c r="A38" s="31">
        <f>IFERROR(INDEX(tDatastores[Cluster],MATCH(0,COUNTIF($A$12:$A$37,tDatastores[Cluster]),0)),"")</f>
        <v/>
      </c>
      <c r="B38" s="32">
        <f>IF(A38="","",IFERROR(INDEX(tDatastores[Type],MATCH(A38,tDatastores[Cluster],0)),""))</f>
        <v/>
      </c>
      <c r="C38" s="45">
        <f>IF(A38="","",IFERROR(SUMIF(tDatastores[Cluster],A38,tDatastores[Capacity TB]),0))</f>
        <v/>
      </c>
      <c r="D38" s="33">
        <f>IF(A38="","",IFERROR(SUMIF(tDatastores[Cluster],A38,tDatastores[Capacity]),0))</f>
        <v/>
      </c>
      <c r="E38" s="33">
        <f>IF(A38="","",IFERROR(SUMIF(tDatastores[Cluster],A38,tDatastores[Free]),0))</f>
        <v/>
      </c>
      <c r="F38" s="33">
        <f>IF(A38="","",IFERROR(D38-E38,0))</f>
        <v/>
      </c>
      <c r="G38" s="34">
        <f>IF(A38="","",IFERROR(F38/D38,0))</f>
        <v/>
      </c>
      <c r="H38" s="32">
        <f>IF(A38="","",IF(G38&lt;0.7,"✅ OK",IF(G38&lt;0.85,"⚠️ Warning","🔴 Critique")))</f>
        <v/>
      </c>
      <c r="I38" s="33">
        <f>IF(A38="","",COUNTIF(tDatastores[Cluster],A38))</f>
        <v/>
      </c>
      <c r="J38" s="33">
        <f>IF(A38="","",COUNTIFS(tDatastores[Cluster],A38,tDatastores[Status],"red")+COUNTIFS(tDatastores[Cluster],A38,tDatastores[Status],"yellow"))</f>
        <v/>
      </c>
      <c r="K38" s="32">
        <f>IF(A38="","",IF(G38&gt;0.9,"🔴 Critique",IF(G38&gt;0.8,"⚠️ Warning","✅ OK")))</f>
        <v/>
      </c>
    </row>
    <row r="39" ht="18" customHeight="1">
      <c r="A39" s="35">
        <f>IFERROR(INDEX(tDatastores[Cluster],MATCH(0,COUNTIF($A$12:$A$38,tDatastores[Cluster]),0)),"")</f>
        <v/>
      </c>
      <c r="B39" s="36">
        <f>IF(A39="","",IFERROR(INDEX(tDatastores[Type],MATCH(A39,tDatastores[Cluster],0)),""))</f>
        <v/>
      </c>
      <c r="C39" s="46">
        <f>IF(A39="","",IFERROR(SUMIF(tDatastores[Cluster],A39,tDatastores[Capacity TB]),0))</f>
        <v/>
      </c>
      <c r="D39" s="37">
        <f>IF(A39="","",IFERROR(SUMIF(tDatastores[Cluster],A39,tDatastores[Capacity]),0))</f>
        <v/>
      </c>
      <c r="E39" s="37">
        <f>IF(A39="","",IFERROR(SUMIF(tDatastores[Cluster],A39,tDatastores[Free]),0))</f>
        <v/>
      </c>
      <c r="F39" s="37">
        <f>IF(A39="","",IFERROR(D39-E39,0))</f>
        <v/>
      </c>
      <c r="G39" s="38">
        <f>IF(A39="","",IFERROR(F39/D39,0))</f>
        <v/>
      </c>
      <c r="H39" s="36">
        <f>IF(A39="","",IF(G39&lt;0.7,"✅ OK",IF(G39&lt;0.85,"⚠️ Warning","🔴 Critique")))</f>
        <v/>
      </c>
      <c r="I39" s="37">
        <f>IF(A39="","",COUNTIF(tDatastores[Cluster],A39))</f>
        <v/>
      </c>
      <c r="J39" s="37">
        <f>IF(A39="","",COUNTIFS(tDatastores[Cluster],A39,tDatastores[Status],"red")+COUNTIFS(tDatastores[Cluster],A39,tDatastores[Status],"yellow"))</f>
        <v/>
      </c>
      <c r="K39" s="36">
        <f>IF(A39="","",IF(G39&gt;0.9,"🔴 Critique",IF(G39&gt;0.8,"⚠️ Warning","✅ OK")))</f>
        <v/>
      </c>
    </row>
    <row r="40" ht="18" customHeight="1">
      <c r="A40" s="31">
        <f>IFERROR(INDEX(tDatastores[Cluster],MATCH(0,COUNTIF($A$12:$A$39,tDatastores[Cluster]),0)),"")</f>
        <v/>
      </c>
      <c r="B40" s="32">
        <f>IF(A40="","",IFERROR(INDEX(tDatastores[Type],MATCH(A40,tDatastores[Cluster],0)),""))</f>
        <v/>
      </c>
      <c r="C40" s="45">
        <f>IF(A40="","",IFERROR(SUMIF(tDatastores[Cluster],A40,tDatastores[Capacity TB]),0))</f>
        <v/>
      </c>
      <c r="D40" s="33">
        <f>IF(A40="","",IFERROR(SUMIF(tDatastores[Cluster],A40,tDatastores[Capacity]),0))</f>
        <v/>
      </c>
      <c r="E40" s="33">
        <f>IF(A40="","",IFERROR(SUMIF(tDatastores[Cluster],A40,tDatastores[Free]),0))</f>
        <v/>
      </c>
      <c r="F40" s="33">
        <f>IF(A40="","",IFERROR(D40-E40,0))</f>
        <v/>
      </c>
      <c r="G40" s="34">
        <f>IF(A40="","",IFERROR(F40/D40,0))</f>
        <v/>
      </c>
      <c r="H40" s="32">
        <f>IF(A40="","",IF(G40&lt;0.7,"✅ OK",IF(G40&lt;0.85,"⚠️ Warning","🔴 Critique")))</f>
        <v/>
      </c>
      <c r="I40" s="33">
        <f>IF(A40="","",COUNTIF(tDatastores[Cluster],A40))</f>
        <v/>
      </c>
      <c r="J40" s="33">
        <f>IF(A40="","",COUNTIFS(tDatastores[Cluster],A40,tDatastores[Status],"red")+COUNTIFS(tDatastores[Cluster],A40,tDatastores[Status],"yellow"))</f>
        <v/>
      </c>
      <c r="K40" s="32">
        <f>IF(A40="","",IF(G40&gt;0.9,"🔴 Critique",IF(G40&gt;0.8,"⚠️ Warning","✅ OK")))</f>
        <v/>
      </c>
    </row>
    <row r="41" ht="18" customHeight="1">
      <c r="A41" s="35">
        <f>IFERROR(INDEX(tDatastores[Cluster],MATCH(0,COUNTIF($A$12:$A$40,tDatastores[Cluster]),0)),"")</f>
        <v/>
      </c>
      <c r="B41" s="36">
        <f>IF(A41="","",IFERROR(INDEX(tDatastores[Type],MATCH(A41,tDatastores[Cluster],0)),""))</f>
        <v/>
      </c>
      <c r="C41" s="46">
        <f>IF(A41="","",IFERROR(SUMIF(tDatastores[Cluster],A41,tDatastores[Capacity TB]),0))</f>
        <v/>
      </c>
      <c r="D41" s="37">
        <f>IF(A41="","",IFERROR(SUMIF(tDatastores[Cluster],A41,tDatastores[Capacity]),0))</f>
        <v/>
      </c>
      <c r="E41" s="37">
        <f>IF(A41="","",IFERROR(SUMIF(tDatastores[Cluster],A41,tDatastores[Free]),0))</f>
        <v/>
      </c>
      <c r="F41" s="37">
        <f>IF(A41="","",IFERROR(D41-E41,0))</f>
        <v/>
      </c>
      <c r="G41" s="38">
        <f>IF(A41="","",IFERROR(F41/D41,0))</f>
        <v/>
      </c>
      <c r="H41" s="36">
        <f>IF(A41="","",IF(G41&lt;0.7,"✅ OK",IF(G41&lt;0.85,"⚠️ Warning","🔴 Critique")))</f>
        <v/>
      </c>
      <c r="I41" s="37">
        <f>IF(A41="","",COUNTIF(tDatastores[Cluster],A41))</f>
        <v/>
      </c>
      <c r="J41" s="37">
        <f>IF(A41="","",COUNTIFS(tDatastores[Cluster],A41,tDatastores[Status],"red")+COUNTIFS(tDatastores[Cluster],A41,tDatastores[Status],"yellow"))</f>
        <v/>
      </c>
      <c r="K41" s="36">
        <f>IF(A41="","",IF(G41&gt;0.9,"🔴 Critique",IF(G41&gt;0.8,"⚠️ Warning","✅ OK")))</f>
        <v/>
      </c>
    </row>
    <row r="42" ht="22" customHeight="1">
      <c r="A42" s="39" t="inlineStr">
        <is>
          <t>TOTAUX</t>
        </is>
      </c>
      <c r="B42" s="39" t="n"/>
      <c r="C42" s="47">
        <f>SUMIF($A$12:$A$41,"&lt;&gt;"&amp;"",C12:C41)</f>
        <v/>
      </c>
      <c r="D42" s="40">
        <f>SUMIF($A$12:$A$41,"&lt;&gt;"&amp;"",D12:D41)</f>
        <v/>
      </c>
      <c r="E42" s="40">
        <f>SUMIF($A$12:$A$41,"&lt;&gt;"&amp;"",E12:E41)</f>
        <v/>
      </c>
      <c r="F42" s="40">
        <f>SUMIF($A$12:$A$41,"&lt;&gt;"&amp;"",F12:F41)</f>
        <v/>
      </c>
      <c r="G42" s="39" t="n"/>
      <c r="H42" s="39" t="n"/>
      <c r="I42" s="40">
        <f>SUMIF($A$12:$A$41,"&lt;&gt;"&amp;"",I12:I41)</f>
        <v/>
      </c>
      <c r="J42" s="40">
        <f>SUMIF($A$12:$A$41,"&lt;&gt;"&amp;"",J12:J41)</f>
        <v/>
      </c>
      <c r="K42" s="39" t="n"/>
    </row>
    <row r="44" ht="20" customHeight="1">
      <c r="A44" s="43" t="inlineStr">
        <is>
          <t xml:space="preserve">  📊  GRAPHIQUES STOCKAGE</t>
        </is>
      </c>
    </row>
  </sheetData>
  <mergeCells count="21">
    <mergeCell ref="J5:K5"/>
    <mergeCell ref="M5:N5"/>
    <mergeCell ref="A6:B6"/>
    <mergeCell ref="D6:E6"/>
    <mergeCell ref="A10:P10"/>
    <mergeCell ref="A7:B7"/>
    <mergeCell ref="G7:H7"/>
    <mergeCell ref="J6:K6"/>
    <mergeCell ref="G6:H6"/>
    <mergeCell ref="A4:O4"/>
    <mergeCell ref="M7:N7"/>
    <mergeCell ref="D7:E7"/>
    <mergeCell ref="M6:N6"/>
    <mergeCell ref="A1:P1"/>
    <mergeCell ref="J7:K7"/>
    <mergeCell ref="A5:B5"/>
    <mergeCell ref="G5:H5"/>
    <mergeCell ref="A44:O44"/>
    <mergeCell ref="A9:O9"/>
    <mergeCell ref="D5:E5"/>
    <mergeCell ref="A2:P2"/>
  </mergeCells>
  <conditionalFormatting sqref="G12:G41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A148C"/>
    <outlinePr summaryBelow="1" summaryRight="1"/>
    <pageSetUpPr/>
  </sheetPr>
  <dimension ref="A1:V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48" customHeight="1">
      <c r="A1" s="1" t="inlineStr">
        <is>
          <t>🧪  SIMULATION D'AJOUT DE VMs PAR DATACENTER</t>
        </is>
      </c>
    </row>
    <row r="2" ht="14" customHeight="1">
      <c r="A2" s="2" t="inlineStr">
        <is>
          <t>✅  DCs extraits automatiquement de tHosts  |  Saisir uniquement le nombre de VMs à ajouter (cellules jaunes)</t>
        </is>
      </c>
    </row>
    <row r="4" ht="20" customHeight="1">
      <c r="A4" s="48" t="inlineStr">
        <is>
          <t xml:space="preserve">  ⚙️  PROFIL DE LA VM SIMULÉE  (cellules jaunes = modifiables)</t>
        </is>
      </c>
    </row>
    <row r="5" ht="20" customHeight="1">
      <c r="A5" s="49" t="inlineStr">
        <is>
          <t>vCPUs par VM simulée</t>
        </is>
      </c>
      <c r="B5" s="50" t="n">
        <v>4</v>
      </c>
      <c r="C5" s="51" t="inlineStr">
        <is>
          <t>← Nb de vCPUs par nouvelle VM</t>
        </is>
      </c>
      <c r="D5" s="52" t="n"/>
      <c r="E5" s="52" t="n"/>
      <c r="F5" s="52" t="n"/>
      <c r="G5" s="52" t="n"/>
      <c r="H5" s="52" t="n"/>
      <c r="I5" s="52" t="n"/>
      <c r="J5" s="18" t="n"/>
    </row>
    <row r="6" ht="20" customHeight="1">
      <c r="A6" s="49" t="inlineStr">
        <is>
          <t>RAM par VM simulée (MB)</t>
        </is>
      </c>
      <c r="B6" s="50" t="n">
        <v>8192</v>
      </c>
      <c r="C6" s="51" t="inlineStr">
        <is>
          <t>← RAM allouée par nouvelle VM</t>
        </is>
      </c>
      <c r="D6" s="52" t="n"/>
      <c r="E6" s="52" t="n"/>
      <c r="F6" s="52" t="n"/>
      <c r="G6" s="52" t="n"/>
      <c r="H6" s="52" t="n"/>
      <c r="I6" s="52" t="n"/>
      <c r="J6" s="18" t="n"/>
    </row>
    <row r="7" ht="20" customHeight="1">
      <c r="A7" s="49" t="inlineStr">
        <is>
          <t>Utilisation CPU par vCPU (%)</t>
        </is>
      </c>
      <c r="B7" s="53" t="n">
        <v>0.3</v>
      </c>
      <c r="C7" s="51" t="inlineStr">
        <is>
          <t>← % d'un cœur physique consommé par vCPU actif</t>
        </is>
      </c>
      <c r="D7" s="52" t="n"/>
      <c r="E7" s="52" t="n"/>
      <c r="F7" s="52" t="n"/>
      <c r="G7" s="52" t="n"/>
      <c r="H7" s="52" t="n"/>
      <c r="I7" s="52" t="n"/>
      <c r="J7" s="18" t="n"/>
    </row>
    <row r="8" ht="20" customHeight="1">
      <c r="A8" s="49" t="inlineStr">
        <is>
          <t>Stockage par VM simulée (GB)</t>
        </is>
      </c>
      <c r="B8" s="50" t="n">
        <v>100</v>
      </c>
      <c r="C8" s="51" t="inlineStr">
        <is>
          <t>← Espace disque par nouvelle VM</t>
        </is>
      </c>
      <c r="D8" s="52" t="n"/>
      <c r="E8" s="52" t="n"/>
      <c r="F8" s="52" t="n"/>
      <c r="G8" s="52" t="n"/>
      <c r="H8" s="52" t="n"/>
      <c r="I8" s="52" t="n"/>
      <c r="J8" s="18" t="n"/>
    </row>
    <row r="9" ht="20" customHeight="1">
      <c r="A9" s="49" t="inlineStr">
        <is>
          <t>Seuil CPU libre minimum (%)</t>
        </is>
      </c>
      <c r="B9" s="53" t="n">
        <v>0.2</v>
      </c>
      <c r="C9" s="51" t="inlineStr">
        <is>
          <t>← Alerte si CPU libre passe sous ce seuil (recommandé ≥ 20%)</t>
        </is>
      </c>
      <c r="D9" s="52" t="n"/>
      <c r="E9" s="52" t="n"/>
      <c r="F9" s="52" t="n"/>
      <c r="G9" s="52" t="n"/>
      <c r="H9" s="52" t="n"/>
      <c r="I9" s="52" t="n"/>
      <c r="J9" s="18" t="n"/>
    </row>
    <row r="10" ht="20" customHeight="1">
      <c r="A10" s="49" t="inlineStr">
        <is>
          <t>Seuil RAM libre minimum (%)</t>
        </is>
      </c>
      <c r="B10" s="53" t="n">
        <v>0.2</v>
      </c>
      <c r="C10" s="51" t="inlineStr">
        <is>
          <t>← Alerte si RAM libre passe sous ce seuil</t>
        </is>
      </c>
      <c r="D10" s="52" t="n"/>
      <c r="E10" s="52" t="n"/>
      <c r="F10" s="52" t="n"/>
      <c r="G10" s="52" t="n"/>
      <c r="H10" s="52" t="n"/>
      <c r="I10" s="52" t="n"/>
      <c r="J10" s="18" t="n"/>
    </row>
    <row r="12" ht="20" customHeight="1">
      <c r="A12" s="16" t="inlineStr">
        <is>
          <t xml:space="preserve">  🖥️  SIMULATION PAR DATACENTER</t>
        </is>
      </c>
    </row>
    <row r="13">
      <c r="A13" s="9" t="inlineStr">
        <is>
          <t>✅  Datacenters extraits automatiquement. Saisir uniquement le nombre de VMs à ajouter dans les cellules jaunes (colonne N).</t>
        </is>
      </c>
    </row>
    <row r="14" ht="44" customHeight="1">
      <c r="A14" s="54" t="inlineStr">
        <is>
          <t>Datacenter
(auto)</t>
        </is>
      </c>
      <c r="B14" s="54" t="inlineStr">
        <is>
          <t>Hosts
actifs</t>
        </is>
      </c>
      <c r="C14" s="54" t="inlineStr">
        <is>
          <t>CPUs
totaux</t>
        </is>
      </c>
      <c r="D14" s="54" t="inlineStr">
        <is>
          <t>Cœurs
libres</t>
        </is>
      </c>
      <c r="E14" s="54" t="inlineStr">
        <is>
          <t>CPU cons.
(%)</t>
        </is>
      </c>
      <c r="F14" s="54" t="inlineStr">
        <is>
          <t>CPU libre
(%)</t>
        </is>
      </c>
      <c r="G14" s="54" t="inlineStr">
        <is>
          <t>RAM tot.
(GB)</t>
        </is>
      </c>
      <c r="H14" s="54" t="inlineStr">
        <is>
          <t>RAM cons.
(GB)</t>
        </is>
      </c>
      <c r="I14" s="54" t="inlineStr">
        <is>
          <t>RAM libre
(%)</t>
        </is>
      </c>
      <c r="J14" s="54" t="inlineStr">
        <is>
          <t>VMs
act.</t>
        </is>
      </c>
      <c r="K14" s="54" t="inlineStr">
        <is>
          <t>Prov.Stg
(GB)</t>
        </is>
      </c>
      <c r="L14" s="54" t="inlineStr">
        <is>
          <t>Stg libre
(GB)</t>
        </is>
      </c>
      <c r="M14" s="54" t="inlineStr">
        <is>
          <t>Stg libre
(%)</t>
        </is>
      </c>
      <c r="N14" s="55" t="inlineStr">
        <is>
          <t>➕ VMs à
ajouter</t>
        </is>
      </c>
      <c r="O14" s="55" t="inlineStr">
        <is>
          <t>vCPUs
+</t>
        </is>
      </c>
      <c r="P14" s="55" t="inlineStr">
        <is>
          <t>RAM
+(GB)</t>
        </is>
      </c>
      <c r="Q14" s="55" t="inlineStr">
        <is>
          <t>Stg
+(GB)</t>
        </is>
      </c>
      <c r="R14" s="56" t="inlineStr">
        <is>
          <t>CPU libre
après(%)</t>
        </is>
      </c>
      <c r="S14" s="56" t="inlineStr">
        <is>
          <t>Statut
CPU</t>
        </is>
      </c>
      <c r="T14" s="56" t="inlineStr">
        <is>
          <t>RAM libre
après(%)</t>
        </is>
      </c>
      <c r="U14" s="56" t="inlineStr">
        <is>
          <t>Statut
RAM</t>
        </is>
      </c>
      <c r="V14" s="56" t="inlineStr">
        <is>
          <t>Max VMs
possibles</t>
        </is>
      </c>
    </row>
    <row r="15" ht="22" customHeight="1">
      <c r="A15" s="57">
        <f>IFERROR(INDEX(tHosts[ClusterDatacenter],MATCH(0,COUNTIF($A$15,tHosts[ClusterDatacenter]),0)),"")</f>
        <v/>
      </c>
      <c r="B15" s="58">
        <f>IF(A15="","",COUNTIF(tHosts[ClusterDatacenter],A15))</f>
        <v/>
      </c>
      <c r="C15" s="58">
        <f>IF(A15="","",SUMIF(tHosts[ClusterDatacenter],A15,tHosts[CPUs]))</f>
        <v/>
      </c>
      <c r="D15" s="58">
        <f>IF(A15="","",SUMIF(tHosts[ClusterDatacenter],A15,tHosts[CPU free cores]))</f>
        <v/>
      </c>
      <c r="E15" s="59">
        <f>IF(A15="","",IFERROR(AVERAGEIF(tHosts[ClusterDatacenter],A15,tHosts[Consumed CPU %]),0))</f>
        <v/>
      </c>
      <c r="F15" s="59">
        <f>IF(A15="","",IFERROR(AVERAGEIF(tHosts[ClusterDatacenter],A15,tHosts[CPU Free %]),0))</f>
        <v/>
      </c>
      <c r="G15" s="58">
        <f>IF(A15="","",ROUND(SUMIF(tHosts[ClusterDatacenter],A15,tHosts[Memory Size (MB)])/1024,0))</f>
        <v/>
      </c>
      <c r="H15" s="58">
        <f>IF(A15="","",ROUND(SUMIF(tHosts[ClusterDatacenter],A15,tHosts[RAM])/1024,0))</f>
        <v/>
      </c>
      <c r="I15" s="59">
        <f>IF(A15="","",IFERROR(1-H15/G15,0))</f>
        <v/>
      </c>
      <c r="J15" s="58">
        <f>IF(A15="","",COUNTIF(tVMs[ClusterDatacenter],A15))</f>
        <v/>
      </c>
      <c r="K15" s="58">
        <f>IF(A15="","",IFERROR(SUMIF(tVMs[ClusterDatacenter],A15,tVMs[Provisioned Space]),0))</f>
        <v/>
      </c>
      <c r="L15" s="58">
        <f>IF(A15="","",IFERROR(SUM(tDatastores[Free]),0))</f>
        <v/>
      </c>
      <c r="M15" s="59">
        <f>IF(A15="","",IFERROR(L15/(L15+K15),0))</f>
        <v/>
      </c>
      <c r="N15" s="50" t="n">
        <v>0</v>
      </c>
      <c r="O15" s="60">
        <f>IF(OR(A15="",N15="",N15=0),"",N15*$B$5)</f>
        <v/>
      </c>
      <c r="P15" s="61">
        <f>IF(OR(A15="",N15="",N15=0),"",ROUND(N15*$B$6/1024,1))</f>
        <v/>
      </c>
      <c r="Q15" s="60">
        <f>IF(OR(A15="",N15="",N15=0),"",N15*$B$8)</f>
        <v/>
      </c>
      <c r="R15" s="62">
        <f>IF(OR(A15="",N15="",N15=0),"",IFERROR((D15-O15*$B$7)/C15,0))</f>
        <v/>
      </c>
      <c r="S15" s="63">
        <f>IF(R15="","",IF(R15&lt;$B$9,"🔴 Critique",IF(R15&lt;$B$9+0.05,"⚠️ Warning","✅ OK")))</f>
        <v/>
      </c>
      <c r="T15" s="62">
        <f>IF(OR(A15="",N15="",N15=0),"",IFERROR((G15-(H15+P15))/G15,0))</f>
        <v/>
      </c>
      <c r="U15" s="63">
        <f>IF(T15="","",IF(T15&lt;$B$10,"🔴 Critique",IF(T15&lt;$B$10+0.05,"⚠️ Warning","✅ OK")))</f>
        <v/>
      </c>
      <c r="V15" s="64">
        <f>IF(A15="","",IFERROR(MAX(0,FLOOR(MIN((D15-$B$9*C15)/($B$5*$B$7),(G15*(1-$B$10)-H15)/($B$6/1024)),1)),""))</f>
        <v/>
      </c>
    </row>
    <row r="16" ht="22" customHeight="1">
      <c r="A16" s="57">
        <f>IFERROR(INDEX(tHosts[ClusterDatacenter],MATCH(0,COUNTIF($A$15:$A$15,tHosts[ClusterDatacenter]),0)),"")</f>
        <v/>
      </c>
      <c r="B16" s="65">
        <f>IF(A16="","",COUNTIF(tHosts[ClusterDatacenter],A16))</f>
        <v/>
      </c>
      <c r="C16" s="65">
        <f>IF(A16="","",SUMIF(tHosts[ClusterDatacenter],A16,tHosts[CPUs]))</f>
        <v/>
      </c>
      <c r="D16" s="65">
        <f>IF(A16="","",SUMIF(tHosts[ClusterDatacenter],A16,tHosts[CPU free cores]))</f>
        <v/>
      </c>
      <c r="E16" s="66">
        <f>IF(A16="","",IFERROR(AVERAGEIF(tHosts[ClusterDatacenter],A16,tHosts[Consumed CPU %]),0))</f>
        <v/>
      </c>
      <c r="F16" s="66">
        <f>IF(A16="","",IFERROR(AVERAGEIF(tHosts[ClusterDatacenter],A16,tHosts[CPU Free %]),0))</f>
        <v/>
      </c>
      <c r="G16" s="65">
        <f>IF(A16="","",ROUND(SUMIF(tHosts[ClusterDatacenter],A16,tHosts[Memory Size (MB)])/1024,0))</f>
        <v/>
      </c>
      <c r="H16" s="65">
        <f>IF(A16="","",ROUND(SUMIF(tHosts[ClusterDatacenter],A16,tHosts[RAM])/1024,0))</f>
        <v/>
      </c>
      <c r="I16" s="66">
        <f>IF(A16="","",IFERROR(1-H16/G16,0))</f>
        <v/>
      </c>
      <c r="J16" s="65">
        <f>IF(A16="","",COUNTIF(tVMs[ClusterDatacenter],A16))</f>
        <v/>
      </c>
      <c r="K16" s="65">
        <f>IF(A16="","",IFERROR(SUMIF(tVMs[ClusterDatacenter],A16,tVMs[Provisioned Space]),0))</f>
        <v/>
      </c>
      <c r="L16" s="65">
        <f>IF(A16="","",IFERROR(SUM(tDatastores[Free]),0))</f>
        <v/>
      </c>
      <c r="M16" s="66">
        <f>IF(A16="","",IFERROR(L16/(L16+K16),0))</f>
        <v/>
      </c>
      <c r="N16" s="50" t="inlineStr"/>
      <c r="O16" s="60">
        <f>IF(OR(A16="",N16="",N16=0),"",N16*$B$5)</f>
        <v/>
      </c>
      <c r="P16" s="61">
        <f>IF(OR(A16="",N16="",N16=0),"",ROUND(N16*$B$6/1024,1))</f>
        <v/>
      </c>
      <c r="Q16" s="60">
        <f>IF(OR(A16="",N16="",N16=0),"",N16*$B$8)</f>
        <v/>
      </c>
      <c r="R16" s="62">
        <f>IF(OR(A16="",N16="",N16=0),"",IFERROR((D16-O16*$B$7)/C16,0))</f>
        <v/>
      </c>
      <c r="S16" s="63">
        <f>IF(R16="","",IF(R16&lt;$B$9,"🔴 Critique",IF(R16&lt;$B$9+0.05,"⚠️ Warning","✅ OK")))</f>
        <v/>
      </c>
      <c r="T16" s="62">
        <f>IF(OR(A16="",N16="",N16=0),"",IFERROR((G16-(H16+P16))/G16,0))</f>
        <v/>
      </c>
      <c r="U16" s="63">
        <f>IF(T16="","",IF(T16&lt;$B$10,"🔴 Critique",IF(T16&lt;$B$10+0.05,"⚠️ Warning","✅ OK")))</f>
        <v/>
      </c>
      <c r="V16" s="64">
        <f>IF(A16="","",IFERROR(MAX(0,FLOOR(MIN((D16-$B$9*C16)/($B$5*$B$7),(G16*(1-$B$10)-H16)/($B$6/1024)),1)),""))</f>
        <v/>
      </c>
    </row>
    <row r="17" ht="22" customHeight="1">
      <c r="A17" s="57">
        <f>IFERROR(INDEX(tHosts[ClusterDatacenter],MATCH(0,COUNTIF($A$15:$A$16,tHosts[ClusterDatacenter]),0)),"")</f>
        <v/>
      </c>
      <c r="B17" s="58">
        <f>IF(A17="","",COUNTIF(tHosts[ClusterDatacenter],A17))</f>
        <v/>
      </c>
      <c r="C17" s="58">
        <f>IF(A17="","",SUMIF(tHosts[ClusterDatacenter],A17,tHosts[CPUs]))</f>
        <v/>
      </c>
      <c r="D17" s="58">
        <f>IF(A17="","",SUMIF(tHosts[ClusterDatacenter],A17,tHosts[CPU free cores]))</f>
        <v/>
      </c>
      <c r="E17" s="59">
        <f>IF(A17="","",IFERROR(AVERAGEIF(tHosts[ClusterDatacenter],A17,tHosts[Consumed CPU %]),0))</f>
        <v/>
      </c>
      <c r="F17" s="59">
        <f>IF(A17="","",IFERROR(AVERAGEIF(tHosts[ClusterDatacenter],A17,tHosts[CPU Free %]),0))</f>
        <v/>
      </c>
      <c r="G17" s="58">
        <f>IF(A17="","",ROUND(SUMIF(tHosts[ClusterDatacenter],A17,tHosts[Memory Size (MB)])/1024,0))</f>
        <v/>
      </c>
      <c r="H17" s="58">
        <f>IF(A17="","",ROUND(SUMIF(tHosts[ClusterDatacenter],A17,tHosts[RAM])/1024,0))</f>
        <v/>
      </c>
      <c r="I17" s="59">
        <f>IF(A17="","",IFERROR(1-H17/G17,0))</f>
        <v/>
      </c>
      <c r="J17" s="58">
        <f>IF(A17="","",COUNTIF(tVMs[ClusterDatacenter],A17))</f>
        <v/>
      </c>
      <c r="K17" s="58">
        <f>IF(A17="","",IFERROR(SUMIF(tVMs[ClusterDatacenter],A17,tVMs[Provisioned Space]),0))</f>
        <v/>
      </c>
      <c r="L17" s="58">
        <f>IF(A17="","",IFERROR(SUM(tDatastores[Free]),0))</f>
        <v/>
      </c>
      <c r="M17" s="59">
        <f>IF(A17="","",IFERROR(L17/(L17+K17),0))</f>
        <v/>
      </c>
      <c r="N17" s="50" t="inlineStr"/>
      <c r="O17" s="60">
        <f>IF(OR(A17="",N17="",N17=0),"",N17*$B$5)</f>
        <v/>
      </c>
      <c r="P17" s="61">
        <f>IF(OR(A17="",N17="",N17=0),"",ROUND(N17*$B$6/1024,1))</f>
        <v/>
      </c>
      <c r="Q17" s="60">
        <f>IF(OR(A17="",N17="",N17=0),"",N17*$B$8)</f>
        <v/>
      </c>
      <c r="R17" s="62">
        <f>IF(OR(A17="",N17="",N17=0),"",IFERROR((D17-O17*$B$7)/C17,0))</f>
        <v/>
      </c>
      <c r="S17" s="63">
        <f>IF(R17="","",IF(R17&lt;$B$9,"🔴 Critique",IF(R17&lt;$B$9+0.05,"⚠️ Warning","✅ OK")))</f>
        <v/>
      </c>
      <c r="T17" s="62">
        <f>IF(OR(A17="",N17="",N17=0),"",IFERROR((G17-(H17+P17))/G17,0))</f>
        <v/>
      </c>
      <c r="U17" s="63">
        <f>IF(T17="","",IF(T17&lt;$B$10,"🔴 Critique",IF(T17&lt;$B$10+0.05,"⚠️ Warning","✅ OK")))</f>
        <v/>
      </c>
      <c r="V17" s="64">
        <f>IF(A17="","",IFERROR(MAX(0,FLOOR(MIN((D17-$B$9*C17)/($B$5*$B$7),(G17*(1-$B$10)-H17)/($B$6/1024)),1)),""))</f>
        <v/>
      </c>
    </row>
    <row r="18" ht="22" customHeight="1">
      <c r="A18" s="57">
        <f>IFERROR(INDEX(tHosts[ClusterDatacenter],MATCH(0,COUNTIF($A$15:$A$17,tHosts[ClusterDatacenter]),0)),"")</f>
        <v/>
      </c>
      <c r="B18" s="65">
        <f>IF(A18="","",COUNTIF(tHosts[ClusterDatacenter],A18))</f>
        <v/>
      </c>
      <c r="C18" s="65">
        <f>IF(A18="","",SUMIF(tHosts[ClusterDatacenter],A18,tHosts[CPUs]))</f>
        <v/>
      </c>
      <c r="D18" s="65">
        <f>IF(A18="","",SUMIF(tHosts[ClusterDatacenter],A18,tHosts[CPU free cores]))</f>
        <v/>
      </c>
      <c r="E18" s="66">
        <f>IF(A18="","",IFERROR(AVERAGEIF(tHosts[ClusterDatacenter],A18,tHosts[Consumed CPU %]),0))</f>
        <v/>
      </c>
      <c r="F18" s="66">
        <f>IF(A18="","",IFERROR(AVERAGEIF(tHosts[ClusterDatacenter],A18,tHosts[CPU Free %]),0))</f>
        <v/>
      </c>
      <c r="G18" s="65">
        <f>IF(A18="","",ROUND(SUMIF(tHosts[ClusterDatacenter],A18,tHosts[Memory Size (MB)])/1024,0))</f>
        <v/>
      </c>
      <c r="H18" s="65">
        <f>IF(A18="","",ROUND(SUMIF(tHosts[ClusterDatacenter],A18,tHosts[RAM])/1024,0))</f>
        <v/>
      </c>
      <c r="I18" s="66">
        <f>IF(A18="","",IFERROR(1-H18/G18,0))</f>
        <v/>
      </c>
      <c r="J18" s="65">
        <f>IF(A18="","",COUNTIF(tVMs[ClusterDatacenter],A18))</f>
        <v/>
      </c>
      <c r="K18" s="65">
        <f>IF(A18="","",IFERROR(SUMIF(tVMs[ClusterDatacenter],A18,tVMs[Provisioned Space]),0))</f>
        <v/>
      </c>
      <c r="L18" s="65">
        <f>IF(A18="","",IFERROR(SUM(tDatastores[Free]),0))</f>
        <v/>
      </c>
      <c r="M18" s="66">
        <f>IF(A18="","",IFERROR(L18/(L18+K18),0))</f>
        <v/>
      </c>
      <c r="N18" s="50" t="inlineStr"/>
      <c r="O18" s="60">
        <f>IF(OR(A18="",N18="",N18=0),"",N18*$B$5)</f>
        <v/>
      </c>
      <c r="P18" s="61">
        <f>IF(OR(A18="",N18="",N18=0),"",ROUND(N18*$B$6/1024,1))</f>
        <v/>
      </c>
      <c r="Q18" s="60">
        <f>IF(OR(A18="",N18="",N18=0),"",N18*$B$8)</f>
        <v/>
      </c>
      <c r="R18" s="62">
        <f>IF(OR(A18="",N18="",N18=0),"",IFERROR((D18-O18*$B$7)/C18,0))</f>
        <v/>
      </c>
      <c r="S18" s="63">
        <f>IF(R18="","",IF(R18&lt;$B$9,"🔴 Critique",IF(R18&lt;$B$9+0.05,"⚠️ Warning","✅ OK")))</f>
        <v/>
      </c>
      <c r="T18" s="62">
        <f>IF(OR(A18="",N18="",N18=0),"",IFERROR((G18-(H18+P18))/G18,0))</f>
        <v/>
      </c>
      <c r="U18" s="63">
        <f>IF(T18="","",IF(T18&lt;$B$10,"🔴 Critique",IF(T18&lt;$B$10+0.05,"⚠️ Warning","✅ OK")))</f>
        <v/>
      </c>
      <c r="V18" s="64">
        <f>IF(A18="","",IFERROR(MAX(0,FLOOR(MIN((D18-$B$9*C18)/($B$5*$B$7),(G18*(1-$B$10)-H18)/($B$6/1024)),1)),""))</f>
        <v/>
      </c>
    </row>
    <row r="19" ht="22" customHeight="1">
      <c r="A19" s="57">
        <f>IFERROR(INDEX(tHosts[ClusterDatacenter],MATCH(0,COUNTIF($A$15:$A$18,tHosts[ClusterDatacenter]),0)),"")</f>
        <v/>
      </c>
      <c r="B19" s="58">
        <f>IF(A19="","",COUNTIF(tHosts[ClusterDatacenter],A19))</f>
        <v/>
      </c>
      <c r="C19" s="58">
        <f>IF(A19="","",SUMIF(tHosts[ClusterDatacenter],A19,tHosts[CPUs]))</f>
        <v/>
      </c>
      <c r="D19" s="58">
        <f>IF(A19="","",SUMIF(tHosts[ClusterDatacenter],A19,tHosts[CPU free cores]))</f>
        <v/>
      </c>
      <c r="E19" s="59">
        <f>IF(A19="","",IFERROR(AVERAGEIF(tHosts[ClusterDatacenter],A19,tHosts[Consumed CPU %]),0))</f>
        <v/>
      </c>
      <c r="F19" s="59">
        <f>IF(A19="","",IFERROR(AVERAGEIF(tHosts[ClusterDatacenter],A19,tHosts[CPU Free %]),0))</f>
        <v/>
      </c>
      <c r="G19" s="58">
        <f>IF(A19="","",ROUND(SUMIF(tHosts[ClusterDatacenter],A19,tHosts[Memory Size (MB)])/1024,0))</f>
        <v/>
      </c>
      <c r="H19" s="58">
        <f>IF(A19="","",ROUND(SUMIF(tHosts[ClusterDatacenter],A19,tHosts[RAM])/1024,0))</f>
        <v/>
      </c>
      <c r="I19" s="59">
        <f>IF(A19="","",IFERROR(1-H19/G19,0))</f>
        <v/>
      </c>
      <c r="J19" s="58">
        <f>IF(A19="","",COUNTIF(tVMs[ClusterDatacenter],A19))</f>
        <v/>
      </c>
      <c r="K19" s="58">
        <f>IF(A19="","",IFERROR(SUMIF(tVMs[ClusterDatacenter],A19,tVMs[Provisioned Space]),0))</f>
        <v/>
      </c>
      <c r="L19" s="58">
        <f>IF(A19="","",IFERROR(SUM(tDatastores[Free]),0))</f>
        <v/>
      </c>
      <c r="M19" s="59">
        <f>IF(A19="","",IFERROR(L19/(L19+K19),0))</f>
        <v/>
      </c>
      <c r="N19" s="50" t="inlineStr"/>
      <c r="O19" s="60">
        <f>IF(OR(A19="",N19="",N19=0),"",N19*$B$5)</f>
        <v/>
      </c>
      <c r="P19" s="61">
        <f>IF(OR(A19="",N19="",N19=0),"",ROUND(N19*$B$6/1024,1))</f>
        <v/>
      </c>
      <c r="Q19" s="60">
        <f>IF(OR(A19="",N19="",N19=0),"",N19*$B$8)</f>
        <v/>
      </c>
      <c r="R19" s="62">
        <f>IF(OR(A19="",N19="",N19=0),"",IFERROR((D19-O19*$B$7)/C19,0))</f>
        <v/>
      </c>
      <c r="S19" s="63">
        <f>IF(R19="","",IF(R19&lt;$B$9,"🔴 Critique",IF(R19&lt;$B$9+0.05,"⚠️ Warning","✅ OK")))</f>
        <v/>
      </c>
      <c r="T19" s="62">
        <f>IF(OR(A19="",N19="",N19=0),"",IFERROR((G19-(H19+P19))/G19,0))</f>
        <v/>
      </c>
      <c r="U19" s="63">
        <f>IF(T19="","",IF(T19&lt;$B$10,"🔴 Critique",IF(T19&lt;$B$10+0.05,"⚠️ Warning","✅ OK")))</f>
        <v/>
      </c>
      <c r="V19" s="64">
        <f>IF(A19="","",IFERROR(MAX(0,FLOOR(MIN((D19-$B$9*C19)/($B$5*$B$7),(G19*(1-$B$10)-H19)/($B$6/1024)),1)),""))</f>
        <v/>
      </c>
    </row>
    <row r="20" ht="22" customHeight="1">
      <c r="A20" s="57">
        <f>IFERROR(INDEX(tHosts[ClusterDatacenter],MATCH(0,COUNTIF($A$15:$A$19,tHosts[ClusterDatacenter]),0)),"")</f>
        <v/>
      </c>
      <c r="B20" s="65">
        <f>IF(A20="","",COUNTIF(tHosts[ClusterDatacenter],A20))</f>
        <v/>
      </c>
      <c r="C20" s="65">
        <f>IF(A20="","",SUMIF(tHosts[ClusterDatacenter],A20,tHosts[CPUs]))</f>
        <v/>
      </c>
      <c r="D20" s="65">
        <f>IF(A20="","",SUMIF(tHosts[ClusterDatacenter],A20,tHosts[CPU free cores]))</f>
        <v/>
      </c>
      <c r="E20" s="66">
        <f>IF(A20="","",IFERROR(AVERAGEIF(tHosts[ClusterDatacenter],A20,tHosts[Consumed CPU %]),0))</f>
        <v/>
      </c>
      <c r="F20" s="66">
        <f>IF(A20="","",IFERROR(AVERAGEIF(tHosts[ClusterDatacenter],A20,tHosts[CPU Free %]),0))</f>
        <v/>
      </c>
      <c r="G20" s="65">
        <f>IF(A20="","",ROUND(SUMIF(tHosts[ClusterDatacenter],A20,tHosts[Memory Size (MB)])/1024,0))</f>
        <v/>
      </c>
      <c r="H20" s="65">
        <f>IF(A20="","",ROUND(SUMIF(tHosts[ClusterDatacenter],A20,tHosts[RAM])/1024,0))</f>
        <v/>
      </c>
      <c r="I20" s="66">
        <f>IF(A20="","",IFERROR(1-H20/G20,0))</f>
        <v/>
      </c>
      <c r="J20" s="65">
        <f>IF(A20="","",COUNTIF(tVMs[ClusterDatacenter],A20))</f>
        <v/>
      </c>
      <c r="K20" s="65">
        <f>IF(A20="","",IFERROR(SUMIF(tVMs[ClusterDatacenter],A20,tVMs[Provisioned Space]),0))</f>
        <v/>
      </c>
      <c r="L20" s="65">
        <f>IF(A20="","",IFERROR(SUM(tDatastores[Free]),0))</f>
        <v/>
      </c>
      <c r="M20" s="66">
        <f>IF(A20="","",IFERROR(L20/(L20+K20),0))</f>
        <v/>
      </c>
      <c r="N20" s="50" t="inlineStr"/>
      <c r="O20" s="60">
        <f>IF(OR(A20="",N20="",N20=0),"",N20*$B$5)</f>
        <v/>
      </c>
      <c r="P20" s="61">
        <f>IF(OR(A20="",N20="",N20=0),"",ROUND(N20*$B$6/1024,1))</f>
        <v/>
      </c>
      <c r="Q20" s="60">
        <f>IF(OR(A20="",N20="",N20=0),"",N20*$B$8)</f>
        <v/>
      </c>
      <c r="R20" s="62">
        <f>IF(OR(A20="",N20="",N20=0),"",IFERROR((D20-O20*$B$7)/C20,0))</f>
        <v/>
      </c>
      <c r="S20" s="63">
        <f>IF(R20="","",IF(R20&lt;$B$9,"🔴 Critique",IF(R20&lt;$B$9+0.05,"⚠️ Warning","✅ OK")))</f>
        <v/>
      </c>
      <c r="T20" s="62">
        <f>IF(OR(A20="",N20="",N20=0),"",IFERROR((G20-(H20+P20))/G20,0))</f>
        <v/>
      </c>
      <c r="U20" s="63">
        <f>IF(T20="","",IF(T20&lt;$B$10,"🔴 Critique",IF(T20&lt;$B$10+0.05,"⚠️ Warning","✅ OK")))</f>
        <v/>
      </c>
      <c r="V20" s="64">
        <f>IF(A20="","",IFERROR(MAX(0,FLOOR(MIN((D20-$B$9*C20)/($B$5*$B$7),(G20*(1-$B$10)-H20)/($B$6/1024)),1)),""))</f>
        <v/>
      </c>
    </row>
    <row r="21" ht="22" customHeight="1">
      <c r="A21" s="57">
        <f>IFERROR(INDEX(tHosts[ClusterDatacenter],MATCH(0,COUNTIF($A$15:$A$20,tHosts[ClusterDatacenter]),0)),"")</f>
        <v/>
      </c>
      <c r="B21" s="58">
        <f>IF(A21="","",COUNTIF(tHosts[ClusterDatacenter],A21))</f>
        <v/>
      </c>
      <c r="C21" s="58">
        <f>IF(A21="","",SUMIF(tHosts[ClusterDatacenter],A21,tHosts[CPUs]))</f>
        <v/>
      </c>
      <c r="D21" s="58">
        <f>IF(A21="","",SUMIF(tHosts[ClusterDatacenter],A21,tHosts[CPU free cores]))</f>
        <v/>
      </c>
      <c r="E21" s="59">
        <f>IF(A21="","",IFERROR(AVERAGEIF(tHosts[ClusterDatacenter],A21,tHosts[Consumed CPU %]),0))</f>
        <v/>
      </c>
      <c r="F21" s="59">
        <f>IF(A21="","",IFERROR(AVERAGEIF(tHosts[ClusterDatacenter],A21,tHosts[CPU Free %]),0))</f>
        <v/>
      </c>
      <c r="G21" s="58">
        <f>IF(A21="","",ROUND(SUMIF(tHosts[ClusterDatacenter],A21,tHosts[Memory Size (MB)])/1024,0))</f>
        <v/>
      </c>
      <c r="H21" s="58">
        <f>IF(A21="","",ROUND(SUMIF(tHosts[ClusterDatacenter],A21,tHosts[RAM])/1024,0))</f>
        <v/>
      </c>
      <c r="I21" s="59">
        <f>IF(A21="","",IFERROR(1-H21/G21,0))</f>
        <v/>
      </c>
      <c r="J21" s="58">
        <f>IF(A21="","",COUNTIF(tVMs[ClusterDatacenter],A21))</f>
        <v/>
      </c>
      <c r="K21" s="58">
        <f>IF(A21="","",IFERROR(SUMIF(tVMs[ClusterDatacenter],A21,tVMs[Provisioned Space]),0))</f>
        <v/>
      </c>
      <c r="L21" s="58">
        <f>IF(A21="","",IFERROR(SUM(tDatastores[Free]),0))</f>
        <v/>
      </c>
      <c r="M21" s="59">
        <f>IF(A21="","",IFERROR(L21/(L21+K21),0))</f>
        <v/>
      </c>
      <c r="N21" s="50" t="inlineStr"/>
      <c r="O21" s="60">
        <f>IF(OR(A21="",N21="",N21=0),"",N21*$B$5)</f>
        <v/>
      </c>
      <c r="P21" s="61">
        <f>IF(OR(A21="",N21="",N21=0),"",ROUND(N21*$B$6/1024,1))</f>
        <v/>
      </c>
      <c r="Q21" s="60">
        <f>IF(OR(A21="",N21="",N21=0),"",N21*$B$8)</f>
        <v/>
      </c>
      <c r="R21" s="62">
        <f>IF(OR(A21="",N21="",N21=0),"",IFERROR((D21-O21*$B$7)/C21,0))</f>
        <v/>
      </c>
      <c r="S21" s="63">
        <f>IF(R21="","",IF(R21&lt;$B$9,"🔴 Critique",IF(R21&lt;$B$9+0.05,"⚠️ Warning","✅ OK")))</f>
        <v/>
      </c>
      <c r="T21" s="62">
        <f>IF(OR(A21="",N21="",N21=0),"",IFERROR((G21-(H21+P21))/G21,0))</f>
        <v/>
      </c>
      <c r="U21" s="63">
        <f>IF(T21="","",IF(T21&lt;$B$10,"🔴 Critique",IF(T21&lt;$B$10+0.05,"⚠️ Warning","✅ OK")))</f>
        <v/>
      </c>
      <c r="V21" s="64">
        <f>IF(A21="","",IFERROR(MAX(0,FLOOR(MIN((D21-$B$9*C21)/($B$5*$B$7),(G21*(1-$B$10)-H21)/($B$6/1024)),1)),""))</f>
        <v/>
      </c>
    </row>
    <row r="22" ht="22" customHeight="1">
      <c r="A22" s="57">
        <f>IFERROR(INDEX(tHosts[ClusterDatacenter],MATCH(0,COUNTIF($A$15:$A$21,tHosts[ClusterDatacenter]),0)),"")</f>
        <v/>
      </c>
      <c r="B22" s="65">
        <f>IF(A22="","",COUNTIF(tHosts[ClusterDatacenter],A22))</f>
        <v/>
      </c>
      <c r="C22" s="65">
        <f>IF(A22="","",SUMIF(tHosts[ClusterDatacenter],A22,tHosts[CPUs]))</f>
        <v/>
      </c>
      <c r="D22" s="65">
        <f>IF(A22="","",SUMIF(tHosts[ClusterDatacenter],A22,tHosts[CPU free cores]))</f>
        <v/>
      </c>
      <c r="E22" s="66">
        <f>IF(A22="","",IFERROR(AVERAGEIF(tHosts[ClusterDatacenter],A22,tHosts[Consumed CPU %]),0))</f>
        <v/>
      </c>
      <c r="F22" s="66">
        <f>IF(A22="","",IFERROR(AVERAGEIF(tHosts[ClusterDatacenter],A22,tHosts[CPU Free %]),0))</f>
        <v/>
      </c>
      <c r="G22" s="65">
        <f>IF(A22="","",ROUND(SUMIF(tHosts[ClusterDatacenter],A22,tHosts[Memory Size (MB)])/1024,0))</f>
        <v/>
      </c>
      <c r="H22" s="65">
        <f>IF(A22="","",ROUND(SUMIF(tHosts[ClusterDatacenter],A22,tHosts[RAM])/1024,0))</f>
        <v/>
      </c>
      <c r="I22" s="66">
        <f>IF(A22="","",IFERROR(1-H22/G22,0))</f>
        <v/>
      </c>
      <c r="J22" s="65">
        <f>IF(A22="","",COUNTIF(tVMs[ClusterDatacenter],A22))</f>
        <v/>
      </c>
      <c r="K22" s="65">
        <f>IF(A22="","",IFERROR(SUMIF(tVMs[ClusterDatacenter],A22,tVMs[Provisioned Space]),0))</f>
        <v/>
      </c>
      <c r="L22" s="65">
        <f>IF(A22="","",IFERROR(SUM(tDatastores[Free]),0))</f>
        <v/>
      </c>
      <c r="M22" s="66">
        <f>IF(A22="","",IFERROR(L22/(L22+K22),0))</f>
        <v/>
      </c>
      <c r="N22" s="50" t="inlineStr"/>
      <c r="O22" s="60">
        <f>IF(OR(A22="",N22="",N22=0),"",N22*$B$5)</f>
        <v/>
      </c>
      <c r="P22" s="61">
        <f>IF(OR(A22="",N22="",N22=0),"",ROUND(N22*$B$6/1024,1))</f>
        <v/>
      </c>
      <c r="Q22" s="60">
        <f>IF(OR(A22="",N22="",N22=0),"",N22*$B$8)</f>
        <v/>
      </c>
      <c r="R22" s="62">
        <f>IF(OR(A22="",N22="",N22=0),"",IFERROR((D22-O22*$B$7)/C22,0))</f>
        <v/>
      </c>
      <c r="S22" s="63">
        <f>IF(R22="","",IF(R22&lt;$B$9,"🔴 Critique",IF(R22&lt;$B$9+0.05,"⚠️ Warning","✅ OK")))</f>
        <v/>
      </c>
      <c r="T22" s="62">
        <f>IF(OR(A22="",N22="",N22=0),"",IFERROR((G22-(H22+P22))/G22,0))</f>
        <v/>
      </c>
      <c r="U22" s="63">
        <f>IF(T22="","",IF(T22&lt;$B$10,"🔴 Critique",IF(T22&lt;$B$10+0.05,"⚠️ Warning","✅ OK")))</f>
        <v/>
      </c>
      <c r="V22" s="64">
        <f>IF(A22="","",IFERROR(MAX(0,FLOOR(MIN((D22-$B$9*C22)/($B$5*$B$7),(G22*(1-$B$10)-H22)/($B$6/1024)),1)),""))</f>
        <v/>
      </c>
    </row>
    <row r="23" ht="22" customHeight="1">
      <c r="A23" s="57">
        <f>IFERROR(INDEX(tHosts[ClusterDatacenter],MATCH(0,COUNTIF($A$15:$A$22,tHosts[ClusterDatacenter]),0)),"")</f>
        <v/>
      </c>
      <c r="B23" s="58">
        <f>IF(A23="","",COUNTIF(tHosts[ClusterDatacenter],A23))</f>
        <v/>
      </c>
      <c r="C23" s="58">
        <f>IF(A23="","",SUMIF(tHosts[ClusterDatacenter],A23,tHosts[CPUs]))</f>
        <v/>
      </c>
      <c r="D23" s="58">
        <f>IF(A23="","",SUMIF(tHosts[ClusterDatacenter],A23,tHosts[CPU free cores]))</f>
        <v/>
      </c>
      <c r="E23" s="59">
        <f>IF(A23="","",IFERROR(AVERAGEIF(tHosts[ClusterDatacenter],A23,tHosts[Consumed CPU %]),0))</f>
        <v/>
      </c>
      <c r="F23" s="59">
        <f>IF(A23="","",IFERROR(AVERAGEIF(tHosts[ClusterDatacenter],A23,tHosts[CPU Free %]),0))</f>
        <v/>
      </c>
      <c r="G23" s="58">
        <f>IF(A23="","",ROUND(SUMIF(tHosts[ClusterDatacenter],A23,tHosts[Memory Size (MB)])/1024,0))</f>
        <v/>
      </c>
      <c r="H23" s="58">
        <f>IF(A23="","",ROUND(SUMIF(tHosts[ClusterDatacenter],A23,tHosts[RAM])/1024,0))</f>
        <v/>
      </c>
      <c r="I23" s="59">
        <f>IF(A23="","",IFERROR(1-H23/G23,0))</f>
        <v/>
      </c>
      <c r="J23" s="58">
        <f>IF(A23="","",COUNTIF(tVMs[ClusterDatacenter],A23))</f>
        <v/>
      </c>
      <c r="K23" s="58">
        <f>IF(A23="","",IFERROR(SUMIF(tVMs[ClusterDatacenter],A23,tVMs[Provisioned Space]),0))</f>
        <v/>
      </c>
      <c r="L23" s="58">
        <f>IF(A23="","",IFERROR(SUM(tDatastores[Free]),0))</f>
        <v/>
      </c>
      <c r="M23" s="59">
        <f>IF(A23="","",IFERROR(L23/(L23+K23),0))</f>
        <v/>
      </c>
      <c r="N23" s="50" t="inlineStr"/>
      <c r="O23" s="60">
        <f>IF(OR(A23="",N23="",N23=0),"",N23*$B$5)</f>
        <v/>
      </c>
      <c r="P23" s="61">
        <f>IF(OR(A23="",N23="",N23=0),"",ROUND(N23*$B$6/1024,1))</f>
        <v/>
      </c>
      <c r="Q23" s="60">
        <f>IF(OR(A23="",N23="",N23=0),"",N23*$B$8)</f>
        <v/>
      </c>
      <c r="R23" s="62">
        <f>IF(OR(A23="",N23="",N23=0),"",IFERROR((D23-O23*$B$7)/C23,0))</f>
        <v/>
      </c>
      <c r="S23" s="63">
        <f>IF(R23="","",IF(R23&lt;$B$9,"🔴 Critique",IF(R23&lt;$B$9+0.05,"⚠️ Warning","✅ OK")))</f>
        <v/>
      </c>
      <c r="T23" s="62">
        <f>IF(OR(A23="",N23="",N23=0),"",IFERROR((G23-(H23+P23))/G23,0))</f>
        <v/>
      </c>
      <c r="U23" s="63">
        <f>IF(T23="","",IF(T23&lt;$B$10,"🔴 Critique",IF(T23&lt;$B$10+0.05,"⚠️ Warning","✅ OK")))</f>
        <v/>
      </c>
      <c r="V23" s="64">
        <f>IF(A23="","",IFERROR(MAX(0,FLOOR(MIN((D23-$B$9*C23)/($B$5*$B$7),(G23*(1-$B$10)-H23)/($B$6/1024)),1)),""))</f>
        <v/>
      </c>
    </row>
    <row r="24" ht="22" customHeight="1">
      <c r="A24" s="57">
        <f>IFERROR(INDEX(tHosts[ClusterDatacenter],MATCH(0,COUNTIF($A$15:$A$23,tHosts[ClusterDatacenter]),0)),"")</f>
        <v/>
      </c>
      <c r="B24" s="65">
        <f>IF(A24="","",COUNTIF(tHosts[ClusterDatacenter],A24))</f>
        <v/>
      </c>
      <c r="C24" s="65">
        <f>IF(A24="","",SUMIF(tHosts[ClusterDatacenter],A24,tHosts[CPUs]))</f>
        <v/>
      </c>
      <c r="D24" s="65">
        <f>IF(A24="","",SUMIF(tHosts[ClusterDatacenter],A24,tHosts[CPU free cores]))</f>
        <v/>
      </c>
      <c r="E24" s="66">
        <f>IF(A24="","",IFERROR(AVERAGEIF(tHosts[ClusterDatacenter],A24,tHosts[Consumed CPU %]),0))</f>
        <v/>
      </c>
      <c r="F24" s="66">
        <f>IF(A24="","",IFERROR(AVERAGEIF(tHosts[ClusterDatacenter],A24,tHosts[CPU Free %]),0))</f>
        <v/>
      </c>
      <c r="G24" s="65">
        <f>IF(A24="","",ROUND(SUMIF(tHosts[ClusterDatacenter],A24,tHosts[Memory Size (MB)])/1024,0))</f>
        <v/>
      </c>
      <c r="H24" s="65">
        <f>IF(A24="","",ROUND(SUMIF(tHosts[ClusterDatacenter],A24,tHosts[RAM])/1024,0))</f>
        <v/>
      </c>
      <c r="I24" s="66">
        <f>IF(A24="","",IFERROR(1-H24/G24,0))</f>
        <v/>
      </c>
      <c r="J24" s="65">
        <f>IF(A24="","",COUNTIF(tVMs[ClusterDatacenter],A24))</f>
        <v/>
      </c>
      <c r="K24" s="65">
        <f>IF(A24="","",IFERROR(SUMIF(tVMs[ClusterDatacenter],A24,tVMs[Provisioned Space]),0))</f>
        <v/>
      </c>
      <c r="L24" s="65">
        <f>IF(A24="","",IFERROR(SUM(tDatastores[Free]),0))</f>
        <v/>
      </c>
      <c r="M24" s="66">
        <f>IF(A24="","",IFERROR(L24/(L24+K24),0))</f>
        <v/>
      </c>
      <c r="N24" s="50" t="inlineStr"/>
      <c r="O24" s="60">
        <f>IF(OR(A24="",N24="",N24=0),"",N24*$B$5)</f>
        <v/>
      </c>
      <c r="P24" s="61">
        <f>IF(OR(A24="",N24="",N24=0),"",ROUND(N24*$B$6/1024,1))</f>
        <v/>
      </c>
      <c r="Q24" s="60">
        <f>IF(OR(A24="",N24="",N24=0),"",N24*$B$8)</f>
        <v/>
      </c>
      <c r="R24" s="62">
        <f>IF(OR(A24="",N24="",N24=0),"",IFERROR((D24-O24*$B$7)/C24,0))</f>
        <v/>
      </c>
      <c r="S24" s="63">
        <f>IF(R24="","",IF(R24&lt;$B$9,"🔴 Critique",IF(R24&lt;$B$9+0.05,"⚠️ Warning","✅ OK")))</f>
        <v/>
      </c>
      <c r="T24" s="62">
        <f>IF(OR(A24="",N24="",N24=0),"",IFERROR((G24-(H24+P24))/G24,0))</f>
        <v/>
      </c>
      <c r="U24" s="63">
        <f>IF(T24="","",IF(T24&lt;$B$10,"🔴 Critique",IF(T24&lt;$B$10+0.05,"⚠️ Warning","✅ OK")))</f>
        <v/>
      </c>
      <c r="V24" s="64">
        <f>IF(A24="","",IFERROR(MAX(0,FLOOR(MIN((D24-$B$9*C24)/($B$5*$B$7),(G24*(1-$B$10)-H24)/($B$6/1024)),1)),""))</f>
        <v/>
      </c>
    </row>
    <row r="25" ht="22" customHeight="1">
      <c r="A25" s="57">
        <f>IFERROR(INDEX(tHosts[ClusterDatacenter],MATCH(0,COUNTIF($A$15:$A$24,tHosts[ClusterDatacenter]),0)),"")</f>
        <v/>
      </c>
      <c r="B25" s="58">
        <f>IF(A25="","",COUNTIF(tHosts[ClusterDatacenter],A25))</f>
        <v/>
      </c>
      <c r="C25" s="58">
        <f>IF(A25="","",SUMIF(tHosts[ClusterDatacenter],A25,tHosts[CPUs]))</f>
        <v/>
      </c>
      <c r="D25" s="58">
        <f>IF(A25="","",SUMIF(tHosts[ClusterDatacenter],A25,tHosts[CPU free cores]))</f>
        <v/>
      </c>
      <c r="E25" s="59">
        <f>IF(A25="","",IFERROR(AVERAGEIF(tHosts[ClusterDatacenter],A25,tHosts[Consumed CPU %]),0))</f>
        <v/>
      </c>
      <c r="F25" s="59">
        <f>IF(A25="","",IFERROR(AVERAGEIF(tHosts[ClusterDatacenter],A25,tHosts[CPU Free %]),0))</f>
        <v/>
      </c>
      <c r="G25" s="58">
        <f>IF(A25="","",ROUND(SUMIF(tHosts[ClusterDatacenter],A25,tHosts[Memory Size (MB)])/1024,0))</f>
        <v/>
      </c>
      <c r="H25" s="58">
        <f>IF(A25="","",ROUND(SUMIF(tHosts[ClusterDatacenter],A25,tHosts[RAM])/1024,0))</f>
        <v/>
      </c>
      <c r="I25" s="59">
        <f>IF(A25="","",IFERROR(1-H25/G25,0))</f>
        <v/>
      </c>
      <c r="J25" s="58">
        <f>IF(A25="","",COUNTIF(tVMs[ClusterDatacenter],A25))</f>
        <v/>
      </c>
      <c r="K25" s="58">
        <f>IF(A25="","",IFERROR(SUMIF(tVMs[ClusterDatacenter],A25,tVMs[Provisioned Space]),0))</f>
        <v/>
      </c>
      <c r="L25" s="58">
        <f>IF(A25="","",IFERROR(SUM(tDatastores[Free]),0))</f>
        <v/>
      </c>
      <c r="M25" s="59">
        <f>IF(A25="","",IFERROR(L25/(L25+K25),0))</f>
        <v/>
      </c>
      <c r="N25" s="50" t="inlineStr"/>
      <c r="O25" s="60">
        <f>IF(OR(A25="",N25="",N25=0),"",N25*$B$5)</f>
        <v/>
      </c>
      <c r="P25" s="61">
        <f>IF(OR(A25="",N25="",N25=0),"",ROUND(N25*$B$6/1024,1))</f>
        <v/>
      </c>
      <c r="Q25" s="60">
        <f>IF(OR(A25="",N25="",N25=0),"",N25*$B$8)</f>
        <v/>
      </c>
      <c r="R25" s="62">
        <f>IF(OR(A25="",N25="",N25=0),"",IFERROR((D25-O25*$B$7)/C25,0))</f>
        <v/>
      </c>
      <c r="S25" s="63">
        <f>IF(R25="","",IF(R25&lt;$B$9,"🔴 Critique",IF(R25&lt;$B$9+0.05,"⚠️ Warning","✅ OK")))</f>
        <v/>
      </c>
      <c r="T25" s="62">
        <f>IF(OR(A25="",N25="",N25=0),"",IFERROR((G25-(H25+P25))/G25,0))</f>
        <v/>
      </c>
      <c r="U25" s="63">
        <f>IF(T25="","",IF(T25&lt;$B$10,"🔴 Critique",IF(T25&lt;$B$10+0.05,"⚠️ Warning","✅ OK")))</f>
        <v/>
      </c>
      <c r="V25" s="64">
        <f>IF(A25="","",IFERROR(MAX(0,FLOOR(MIN((D25-$B$9*C25)/($B$5*$B$7),(G25*(1-$B$10)-H25)/($B$6/1024)),1)),""))</f>
        <v/>
      </c>
    </row>
    <row r="26" ht="22" customHeight="1">
      <c r="A26" s="57">
        <f>IFERROR(INDEX(tHosts[ClusterDatacenter],MATCH(0,COUNTIF($A$15:$A$25,tHosts[ClusterDatacenter]),0)),"")</f>
        <v/>
      </c>
      <c r="B26" s="65">
        <f>IF(A26="","",COUNTIF(tHosts[ClusterDatacenter],A26))</f>
        <v/>
      </c>
      <c r="C26" s="65">
        <f>IF(A26="","",SUMIF(tHosts[ClusterDatacenter],A26,tHosts[CPUs]))</f>
        <v/>
      </c>
      <c r="D26" s="65">
        <f>IF(A26="","",SUMIF(tHosts[ClusterDatacenter],A26,tHosts[CPU free cores]))</f>
        <v/>
      </c>
      <c r="E26" s="66">
        <f>IF(A26="","",IFERROR(AVERAGEIF(tHosts[ClusterDatacenter],A26,tHosts[Consumed CPU %]),0))</f>
        <v/>
      </c>
      <c r="F26" s="66">
        <f>IF(A26="","",IFERROR(AVERAGEIF(tHosts[ClusterDatacenter],A26,tHosts[CPU Free %]),0))</f>
        <v/>
      </c>
      <c r="G26" s="65">
        <f>IF(A26="","",ROUND(SUMIF(tHosts[ClusterDatacenter],A26,tHosts[Memory Size (MB)])/1024,0))</f>
        <v/>
      </c>
      <c r="H26" s="65">
        <f>IF(A26="","",ROUND(SUMIF(tHosts[ClusterDatacenter],A26,tHosts[RAM])/1024,0))</f>
        <v/>
      </c>
      <c r="I26" s="66">
        <f>IF(A26="","",IFERROR(1-H26/G26,0))</f>
        <v/>
      </c>
      <c r="J26" s="65">
        <f>IF(A26="","",COUNTIF(tVMs[ClusterDatacenter],A26))</f>
        <v/>
      </c>
      <c r="K26" s="65">
        <f>IF(A26="","",IFERROR(SUMIF(tVMs[ClusterDatacenter],A26,tVMs[Provisioned Space]),0))</f>
        <v/>
      </c>
      <c r="L26" s="65">
        <f>IF(A26="","",IFERROR(SUM(tDatastores[Free]),0))</f>
        <v/>
      </c>
      <c r="M26" s="66">
        <f>IF(A26="","",IFERROR(L26/(L26+K26),0))</f>
        <v/>
      </c>
      <c r="N26" s="50" t="inlineStr"/>
      <c r="O26" s="60">
        <f>IF(OR(A26="",N26="",N26=0),"",N26*$B$5)</f>
        <v/>
      </c>
      <c r="P26" s="61">
        <f>IF(OR(A26="",N26="",N26=0),"",ROUND(N26*$B$6/1024,1))</f>
        <v/>
      </c>
      <c r="Q26" s="60">
        <f>IF(OR(A26="",N26="",N26=0),"",N26*$B$8)</f>
        <v/>
      </c>
      <c r="R26" s="62">
        <f>IF(OR(A26="",N26="",N26=0),"",IFERROR((D26-O26*$B$7)/C26,0))</f>
        <v/>
      </c>
      <c r="S26" s="63">
        <f>IF(R26="","",IF(R26&lt;$B$9,"🔴 Critique",IF(R26&lt;$B$9+0.05,"⚠️ Warning","✅ OK")))</f>
        <v/>
      </c>
      <c r="T26" s="62">
        <f>IF(OR(A26="",N26="",N26=0),"",IFERROR((G26-(H26+P26))/G26,0))</f>
        <v/>
      </c>
      <c r="U26" s="63">
        <f>IF(T26="","",IF(T26&lt;$B$10,"🔴 Critique",IF(T26&lt;$B$10+0.05,"⚠️ Warning","✅ OK")))</f>
        <v/>
      </c>
      <c r="V26" s="64">
        <f>IF(A26="","",IFERROR(MAX(0,FLOOR(MIN((D26-$B$9*C26)/($B$5*$B$7),(G26*(1-$B$10)-H26)/($B$6/1024)),1)),""))</f>
        <v/>
      </c>
    </row>
    <row r="27" ht="22" customHeight="1">
      <c r="A27" s="57">
        <f>IFERROR(INDEX(tHosts[ClusterDatacenter],MATCH(0,COUNTIF($A$15:$A$26,tHosts[ClusterDatacenter]),0)),"")</f>
        <v/>
      </c>
      <c r="B27" s="58">
        <f>IF(A27="","",COUNTIF(tHosts[ClusterDatacenter],A27))</f>
        <v/>
      </c>
      <c r="C27" s="58">
        <f>IF(A27="","",SUMIF(tHosts[ClusterDatacenter],A27,tHosts[CPUs]))</f>
        <v/>
      </c>
      <c r="D27" s="58">
        <f>IF(A27="","",SUMIF(tHosts[ClusterDatacenter],A27,tHosts[CPU free cores]))</f>
        <v/>
      </c>
      <c r="E27" s="59">
        <f>IF(A27="","",IFERROR(AVERAGEIF(tHosts[ClusterDatacenter],A27,tHosts[Consumed CPU %]),0))</f>
        <v/>
      </c>
      <c r="F27" s="59">
        <f>IF(A27="","",IFERROR(AVERAGEIF(tHosts[ClusterDatacenter],A27,tHosts[CPU Free %]),0))</f>
        <v/>
      </c>
      <c r="G27" s="58">
        <f>IF(A27="","",ROUND(SUMIF(tHosts[ClusterDatacenter],A27,tHosts[Memory Size (MB)])/1024,0))</f>
        <v/>
      </c>
      <c r="H27" s="58">
        <f>IF(A27="","",ROUND(SUMIF(tHosts[ClusterDatacenter],A27,tHosts[RAM])/1024,0))</f>
        <v/>
      </c>
      <c r="I27" s="59">
        <f>IF(A27="","",IFERROR(1-H27/G27,0))</f>
        <v/>
      </c>
      <c r="J27" s="58">
        <f>IF(A27="","",COUNTIF(tVMs[ClusterDatacenter],A27))</f>
        <v/>
      </c>
      <c r="K27" s="58">
        <f>IF(A27="","",IFERROR(SUMIF(tVMs[ClusterDatacenter],A27,tVMs[Provisioned Space]),0))</f>
        <v/>
      </c>
      <c r="L27" s="58">
        <f>IF(A27="","",IFERROR(SUM(tDatastores[Free]),0))</f>
        <v/>
      </c>
      <c r="M27" s="59">
        <f>IF(A27="","",IFERROR(L27/(L27+K27),0))</f>
        <v/>
      </c>
      <c r="N27" s="50" t="inlineStr"/>
      <c r="O27" s="60">
        <f>IF(OR(A27="",N27="",N27=0),"",N27*$B$5)</f>
        <v/>
      </c>
      <c r="P27" s="61">
        <f>IF(OR(A27="",N27="",N27=0),"",ROUND(N27*$B$6/1024,1))</f>
        <v/>
      </c>
      <c r="Q27" s="60">
        <f>IF(OR(A27="",N27="",N27=0),"",N27*$B$8)</f>
        <v/>
      </c>
      <c r="R27" s="62">
        <f>IF(OR(A27="",N27="",N27=0),"",IFERROR((D27-O27*$B$7)/C27,0))</f>
        <v/>
      </c>
      <c r="S27" s="63">
        <f>IF(R27="","",IF(R27&lt;$B$9,"🔴 Critique",IF(R27&lt;$B$9+0.05,"⚠️ Warning","✅ OK")))</f>
        <v/>
      </c>
      <c r="T27" s="62">
        <f>IF(OR(A27="",N27="",N27=0),"",IFERROR((G27-(H27+P27))/G27,0))</f>
        <v/>
      </c>
      <c r="U27" s="63">
        <f>IF(T27="","",IF(T27&lt;$B$10,"🔴 Critique",IF(T27&lt;$B$10+0.05,"⚠️ Warning","✅ OK")))</f>
        <v/>
      </c>
      <c r="V27" s="64">
        <f>IF(A27="","",IFERROR(MAX(0,FLOOR(MIN((D27-$B$9*C27)/($B$5*$B$7),(G27*(1-$B$10)-H27)/($B$6/1024)),1)),""))</f>
        <v/>
      </c>
    </row>
    <row r="28" ht="22" customHeight="1">
      <c r="A28" s="57">
        <f>IFERROR(INDEX(tHosts[ClusterDatacenter],MATCH(0,COUNTIF($A$15:$A$27,tHosts[ClusterDatacenter]),0)),"")</f>
        <v/>
      </c>
      <c r="B28" s="65">
        <f>IF(A28="","",COUNTIF(tHosts[ClusterDatacenter],A28))</f>
        <v/>
      </c>
      <c r="C28" s="65">
        <f>IF(A28="","",SUMIF(tHosts[ClusterDatacenter],A28,tHosts[CPUs]))</f>
        <v/>
      </c>
      <c r="D28" s="65">
        <f>IF(A28="","",SUMIF(tHosts[ClusterDatacenter],A28,tHosts[CPU free cores]))</f>
        <v/>
      </c>
      <c r="E28" s="66">
        <f>IF(A28="","",IFERROR(AVERAGEIF(tHosts[ClusterDatacenter],A28,tHosts[Consumed CPU %]),0))</f>
        <v/>
      </c>
      <c r="F28" s="66">
        <f>IF(A28="","",IFERROR(AVERAGEIF(tHosts[ClusterDatacenter],A28,tHosts[CPU Free %]),0))</f>
        <v/>
      </c>
      <c r="G28" s="65">
        <f>IF(A28="","",ROUND(SUMIF(tHosts[ClusterDatacenter],A28,tHosts[Memory Size (MB)])/1024,0))</f>
        <v/>
      </c>
      <c r="H28" s="65">
        <f>IF(A28="","",ROUND(SUMIF(tHosts[ClusterDatacenter],A28,tHosts[RAM])/1024,0))</f>
        <v/>
      </c>
      <c r="I28" s="66">
        <f>IF(A28="","",IFERROR(1-H28/G28,0))</f>
        <v/>
      </c>
      <c r="J28" s="65">
        <f>IF(A28="","",COUNTIF(tVMs[ClusterDatacenter],A28))</f>
        <v/>
      </c>
      <c r="K28" s="65">
        <f>IF(A28="","",IFERROR(SUMIF(tVMs[ClusterDatacenter],A28,tVMs[Provisioned Space]),0))</f>
        <v/>
      </c>
      <c r="L28" s="65">
        <f>IF(A28="","",IFERROR(SUM(tDatastores[Free]),0))</f>
        <v/>
      </c>
      <c r="M28" s="66">
        <f>IF(A28="","",IFERROR(L28/(L28+K28),0))</f>
        <v/>
      </c>
      <c r="N28" s="50" t="inlineStr"/>
      <c r="O28" s="60">
        <f>IF(OR(A28="",N28="",N28=0),"",N28*$B$5)</f>
        <v/>
      </c>
      <c r="P28" s="61">
        <f>IF(OR(A28="",N28="",N28=0),"",ROUND(N28*$B$6/1024,1))</f>
        <v/>
      </c>
      <c r="Q28" s="60">
        <f>IF(OR(A28="",N28="",N28=0),"",N28*$B$8)</f>
        <v/>
      </c>
      <c r="R28" s="62">
        <f>IF(OR(A28="",N28="",N28=0),"",IFERROR((D28-O28*$B$7)/C28,0))</f>
        <v/>
      </c>
      <c r="S28" s="63">
        <f>IF(R28="","",IF(R28&lt;$B$9,"🔴 Critique",IF(R28&lt;$B$9+0.05,"⚠️ Warning","✅ OK")))</f>
        <v/>
      </c>
      <c r="T28" s="62">
        <f>IF(OR(A28="",N28="",N28=0),"",IFERROR((G28-(H28+P28))/G28,0))</f>
        <v/>
      </c>
      <c r="U28" s="63">
        <f>IF(T28="","",IF(T28&lt;$B$10,"🔴 Critique",IF(T28&lt;$B$10+0.05,"⚠️ Warning","✅ OK")))</f>
        <v/>
      </c>
      <c r="V28" s="64">
        <f>IF(A28="","",IFERROR(MAX(0,FLOOR(MIN((D28-$B$9*C28)/($B$5*$B$7),(G28*(1-$B$10)-H28)/($B$6/1024)),1)),""))</f>
        <v/>
      </c>
    </row>
    <row r="29" ht="22" customHeight="1">
      <c r="A29" s="57">
        <f>IFERROR(INDEX(tHosts[ClusterDatacenter],MATCH(0,COUNTIF($A$15:$A$28,tHosts[ClusterDatacenter]),0)),"")</f>
        <v/>
      </c>
      <c r="B29" s="58">
        <f>IF(A29="","",COUNTIF(tHosts[ClusterDatacenter],A29))</f>
        <v/>
      </c>
      <c r="C29" s="58">
        <f>IF(A29="","",SUMIF(tHosts[ClusterDatacenter],A29,tHosts[CPUs]))</f>
        <v/>
      </c>
      <c r="D29" s="58">
        <f>IF(A29="","",SUMIF(tHosts[ClusterDatacenter],A29,tHosts[CPU free cores]))</f>
        <v/>
      </c>
      <c r="E29" s="59">
        <f>IF(A29="","",IFERROR(AVERAGEIF(tHosts[ClusterDatacenter],A29,tHosts[Consumed CPU %]),0))</f>
        <v/>
      </c>
      <c r="F29" s="59">
        <f>IF(A29="","",IFERROR(AVERAGEIF(tHosts[ClusterDatacenter],A29,tHosts[CPU Free %]),0))</f>
        <v/>
      </c>
      <c r="G29" s="58">
        <f>IF(A29="","",ROUND(SUMIF(tHosts[ClusterDatacenter],A29,tHosts[Memory Size (MB)])/1024,0))</f>
        <v/>
      </c>
      <c r="H29" s="58">
        <f>IF(A29="","",ROUND(SUMIF(tHosts[ClusterDatacenter],A29,tHosts[RAM])/1024,0))</f>
        <v/>
      </c>
      <c r="I29" s="59">
        <f>IF(A29="","",IFERROR(1-H29/G29,0))</f>
        <v/>
      </c>
      <c r="J29" s="58">
        <f>IF(A29="","",COUNTIF(tVMs[ClusterDatacenter],A29))</f>
        <v/>
      </c>
      <c r="K29" s="58">
        <f>IF(A29="","",IFERROR(SUMIF(tVMs[ClusterDatacenter],A29,tVMs[Provisioned Space]),0))</f>
        <v/>
      </c>
      <c r="L29" s="58">
        <f>IF(A29="","",IFERROR(SUM(tDatastores[Free]),0))</f>
        <v/>
      </c>
      <c r="M29" s="59">
        <f>IF(A29="","",IFERROR(L29/(L29+K29),0))</f>
        <v/>
      </c>
      <c r="N29" s="50" t="inlineStr"/>
      <c r="O29" s="60">
        <f>IF(OR(A29="",N29="",N29=0),"",N29*$B$5)</f>
        <v/>
      </c>
      <c r="P29" s="61">
        <f>IF(OR(A29="",N29="",N29=0),"",ROUND(N29*$B$6/1024,1))</f>
        <v/>
      </c>
      <c r="Q29" s="60">
        <f>IF(OR(A29="",N29="",N29=0),"",N29*$B$8)</f>
        <v/>
      </c>
      <c r="R29" s="62">
        <f>IF(OR(A29="",N29="",N29=0),"",IFERROR((D29-O29*$B$7)/C29,0))</f>
        <v/>
      </c>
      <c r="S29" s="63">
        <f>IF(R29="","",IF(R29&lt;$B$9,"🔴 Critique",IF(R29&lt;$B$9+0.05,"⚠️ Warning","✅ OK")))</f>
        <v/>
      </c>
      <c r="T29" s="62">
        <f>IF(OR(A29="",N29="",N29=0),"",IFERROR((G29-(H29+P29))/G29,0))</f>
        <v/>
      </c>
      <c r="U29" s="63">
        <f>IF(T29="","",IF(T29&lt;$B$10,"🔴 Critique",IF(T29&lt;$B$10+0.05,"⚠️ Warning","✅ OK")))</f>
        <v/>
      </c>
      <c r="V29" s="64">
        <f>IF(A29="","",IFERROR(MAX(0,FLOOR(MIN((D29-$B$9*C29)/($B$5*$B$7),(G29*(1-$B$10)-H29)/($B$6/1024)),1)),""))</f>
        <v/>
      </c>
    </row>
    <row r="30" ht="22" customHeight="1">
      <c r="A30" s="57">
        <f>IFERROR(INDEX(tHosts[ClusterDatacenter],MATCH(0,COUNTIF($A$15:$A$29,tHosts[ClusterDatacenter]),0)),"")</f>
        <v/>
      </c>
      <c r="B30" s="65">
        <f>IF(A30="","",COUNTIF(tHosts[ClusterDatacenter],A30))</f>
        <v/>
      </c>
      <c r="C30" s="65">
        <f>IF(A30="","",SUMIF(tHosts[ClusterDatacenter],A30,tHosts[CPUs]))</f>
        <v/>
      </c>
      <c r="D30" s="65">
        <f>IF(A30="","",SUMIF(tHosts[ClusterDatacenter],A30,tHosts[CPU free cores]))</f>
        <v/>
      </c>
      <c r="E30" s="66">
        <f>IF(A30="","",IFERROR(AVERAGEIF(tHosts[ClusterDatacenter],A30,tHosts[Consumed CPU %]),0))</f>
        <v/>
      </c>
      <c r="F30" s="66">
        <f>IF(A30="","",IFERROR(AVERAGEIF(tHosts[ClusterDatacenter],A30,tHosts[CPU Free %]),0))</f>
        <v/>
      </c>
      <c r="G30" s="65">
        <f>IF(A30="","",ROUND(SUMIF(tHosts[ClusterDatacenter],A30,tHosts[Memory Size (MB)])/1024,0))</f>
        <v/>
      </c>
      <c r="H30" s="65">
        <f>IF(A30="","",ROUND(SUMIF(tHosts[ClusterDatacenter],A30,tHosts[RAM])/1024,0))</f>
        <v/>
      </c>
      <c r="I30" s="66">
        <f>IF(A30="","",IFERROR(1-H30/G30,0))</f>
        <v/>
      </c>
      <c r="J30" s="65">
        <f>IF(A30="","",COUNTIF(tVMs[ClusterDatacenter],A30))</f>
        <v/>
      </c>
      <c r="K30" s="65">
        <f>IF(A30="","",IFERROR(SUMIF(tVMs[ClusterDatacenter],A30,tVMs[Provisioned Space]),0))</f>
        <v/>
      </c>
      <c r="L30" s="65">
        <f>IF(A30="","",IFERROR(SUM(tDatastores[Free]),0))</f>
        <v/>
      </c>
      <c r="M30" s="66">
        <f>IF(A30="","",IFERROR(L30/(L30+K30),0))</f>
        <v/>
      </c>
      <c r="N30" s="50" t="inlineStr"/>
      <c r="O30" s="60">
        <f>IF(OR(A30="",N30="",N30=0),"",N30*$B$5)</f>
        <v/>
      </c>
      <c r="P30" s="61">
        <f>IF(OR(A30="",N30="",N30=0),"",ROUND(N30*$B$6/1024,1))</f>
        <v/>
      </c>
      <c r="Q30" s="60">
        <f>IF(OR(A30="",N30="",N30=0),"",N30*$B$8)</f>
        <v/>
      </c>
      <c r="R30" s="62">
        <f>IF(OR(A30="",N30="",N30=0),"",IFERROR((D30-O30*$B$7)/C30,0))</f>
        <v/>
      </c>
      <c r="S30" s="63">
        <f>IF(R30="","",IF(R30&lt;$B$9,"🔴 Critique",IF(R30&lt;$B$9+0.05,"⚠️ Warning","✅ OK")))</f>
        <v/>
      </c>
      <c r="T30" s="62">
        <f>IF(OR(A30="",N30="",N30=0),"",IFERROR((G30-(H30+P30))/G30,0))</f>
        <v/>
      </c>
      <c r="U30" s="63">
        <f>IF(T30="","",IF(T30&lt;$B$10,"🔴 Critique",IF(T30&lt;$B$10+0.05,"⚠️ Warning","✅ OK")))</f>
        <v/>
      </c>
      <c r="V30" s="64">
        <f>IF(A30="","",IFERROR(MAX(0,FLOOR(MIN((D30-$B$9*C30)/($B$5*$B$7),(G30*(1-$B$10)-H30)/($B$6/1024)),1)),""))</f>
        <v/>
      </c>
    </row>
    <row r="31" ht="22" customHeight="1">
      <c r="A31" s="57">
        <f>IFERROR(INDEX(tHosts[ClusterDatacenter],MATCH(0,COUNTIF($A$15:$A$30,tHosts[ClusterDatacenter]),0)),"")</f>
        <v/>
      </c>
      <c r="B31" s="58">
        <f>IF(A31="","",COUNTIF(tHosts[ClusterDatacenter],A31))</f>
        <v/>
      </c>
      <c r="C31" s="58">
        <f>IF(A31="","",SUMIF(tHosts[ClusterDatacenter],A31,tHosts[CPUs]))</f>
        <v/>
      </c>
      <c r="D31" s="58">
        <f>IF(A31="","",SUMIF(tHosts[ClusterDatacenter],A31,tHosts[CPU free cores]))</f>
        <v/>
      </c>
      <c r="E31" s="59">
        <f>IF(A31="","",IFERROR(AVERAGEIF(tHosts[ClusterDatacenter],A31,tHosts[Consumed CPU %]),0))</f>
        <v/>
      </c>
      <c r="F31" s="59">
        <f>IF(A31="","",IFERROR(AVERAGEIF(tHosts[ClusterDatacenter],A31,tHosts[CPU Free %]),0))</f>
        <v/>
      </c>
      <c r="G31" s="58">
        <f>IF(A31="","",ROUND(SUMIF(tHosts[ClusterDatacenter],A31,tHosts[Memory Size (MB)])/1024,0))</f>
        <v/>
      </c>
      <c r="H31" s="58">
        <f>IF(A31="","",ROUND(SUMIF(tHosts[ClusterDatacenter],A31,tHosts[RAM])/1024,0))</f>
        <v/>
      </c>
      <c r="I31" s="59">
        <f>IF(A31="","",IFERROR(1-H31/G31,0))</f>
        <v/>
      </c>
      <c r="J31" s="58">
        <f>IF(A31="","",COUNTIF(tVMs[ClusterDatacenter],A31))</f>
        <v/>
      </c>
      <c r="K31" s="58">
        <f>IF(A31="","",IFERROR(SUMIF(tVMs[ClusterDatacenter],A31,tVMs[Provisioned Space]),0))</f>
        <v/>
      </c>
      <c r="L31" s="58">
        <f>IF(A31="","",IFERROR(SUM(tDatastores[Free]),0))</f>
        <v/>
      </c>
      <c r="M31" s="59">
        <f>IF(A31="","",IFERROR(L31/(L31+K31),0))</f>
        <v/>
      </c>
      <c r="N31" s="50" t="inlineStr"/>
      <c r="O31" s="60">
        <f>IF(OR(A31="",N31="",N31=0),"",N31*$B$5)</f>
        <v/>
      </c>
      <c r="P31" s="61">
        <f>IF(OR(A31="",N31="",N31=0),"",ROUND(N31*$B$6/1024,1))</f>
        <v/>
      </c>
      <c r="Q31" s="60">
        <f>IF(OR(A31="",N31="",N31=0),"",N31*$B$8)</f>
        <v/>
      </c>
      <c r="R31" s="62">
        <f>IF(OR(A31="",N31="",N31=0),"",IFERROR((D31-O31*$B$7)/C31,0))</f>
        <v/>
      </c>
      <c r="S31" s="63">
        <f>IF(R31="","",IF(R31&lt;$B$9,"🔴 Critique",IF(R31&lt;$B$9+0.05,"⚠️ Warning","✅ OK")))</f>
        <v/>
      </c>
      <c r="T31" s="62">
        <f>IF(OR(A31="",N31="",N31=0),"",IFERROR((G31-(H31+P31))/G31,0))</f>
        <v/>
      </c>
      <c r="U31" s="63">
        <f>IF(T31="","",IF(T31&lt;$B$10,"🔴 Critique",IF(T31&lt;$B$10+0.05,"⚠️ Warning","✅ OK")))</f>
        <v/>
      </c>
      <c r="V31" s="64">
        <f>IF(A31="","",IFERROR(MAX(0,FLOOR(MIN((D31-$B$9*C31)/($B$5*$B$7),(G31*(1-$B$10)-H31)/($B$6/1024)),1)),""))</f>
        <v/>
      </c>
    </row>
    <row r="32" ht="22" customHeight="1">
      <c r="A32" s="57">
        <f>IFERROR(INDEX(tHosts[ClusterDatacenter],MATCH(0,COUNTIF($A$15:$A$31,tHosts[ClusterDatacenter]),0)),"")</f>
        <v/>
      </c>
      <c r="B32" s="65">
        <f>IF(A32="","",COUNTIF(tHosts[ClusterDatacenter],A32))</f>
        <v/>
      </c>
      <c r="C32" s="65">
        <f>IF(A32="","",SUMIF(tHosts[ClusterDatacenter],A32,tHosts[CPUs]))</f>
        <v/>
      </c>
      <c r="D32" s="65">
        <f>IF(A32="","",SUMIF(tHosts[ClusterDatacenter],A32,tHosts[CPU free cores]))</f>
        <v/>
      </c>
      <c r="E32" s="66">
        <f>IF(A32="","",IFERROR(AVERAGEIF(tHosts[ClusterDatacenter],A32,tHosts[Consumed CPU %]),0))</f>
        <v/>
      </c>
      <c r="F32" s="66">
        <f>IF(A32="","",IFERROR(AVERAGEIF(tHosts[ClusterDatacenter],A32,tHosts[CPU Free %]),0))</f>
        <v/>
      </c>
      <c r="G32" s="65">
        <f>IF(A32="","",ROUND(SUMIF(tHosts[ClusterDatacenter],A32,tHosts[Memory Size (MB)])/1024,0))</f>
        <v/>
      </c>
      <c r="H32" s="65">
        <f>IF(A32="","",ROUND(SUMIF(tHosts[ClusterDatacenter],A32,tHosts[RAM])/1024,0))</f>
        <v/>
      </c>
      <c r="I32" s="66">
        <f>IF(A32="","",IFERROR(1-H32/G32,0))</f>
        <v/>
      </c>
      <c r="J32" s="65">
        <f>IF(A32="","",COUNTIF(tVMs[ClusterDatacenter],A32))</f>
        <v/>
      </c>
      <c r="K32" s="65">
        <f>IF(A32="","",IFERROR(SUMIF(tVMs[ClusterDatacenter],A32,tVMs[Provisioned Space]),0))</f>
        <v/>
      </c>
      <c r="L32" s="65">
        <f>IF(A32="","",IFERROR(SUM(tDatastores[Free]),0))</f>
        <v/>
      </c>
      <c r="M32" s="66">
        <f>IF(A32="","",IFERROR(L32/(L32+K32),0))</f>
        <v/>
      </c>
      <c r="N32" s="50" t="inlineStr"/>
      <c r="O32" s="60">
        <f>IF(OR(A32="",N32="",N32=0),"",N32*$B$5)</f>
        <v/>
      </c>
      <c r="P32" s="61">
        <f>IF(OR(A32="",N32="",N32=0),"",ROUND(N32*$B$6/1024,1))</f>
        <v/>
      </c>
      <c r="Q32" s="60">
        <f>IF(OR(A32="",N32="",N32=0),"",N32*$B$8)</f>
        <v/>
      </c>
      <c r="R32" s="62">
        <f>IF(OR(A32="",N32="",N32=0),"",IFERROR((D32-O32*$B$7)/C32,0))</f>
        <v/>
      </c>
      <c r="S32" s="63">
        <f>IF(R32="","",IF(R32&lt;$B$9,"🔴 Critique",IF(R32&lt;$B$9+0.05,"⚠️ Warning","✅ OK")))</f>
        <v/>
      </c>
      <c r="T32" s="62">
        <f>IF(OR(A32="",N32="",N32=0),"",IFERROR((G32-(H32+P32))/G32,0))</f>
        <v/>
      </c>
      <c r="U32" s="63">
        <f>IF(T32="","",IF(T32&lt;$B$10,"🔴 Critique",IF(T32&lt;$B$10+0.05,"⚠️ Warning","✅ OK")))</f>
        <v/>
      </c>
      <c r="V32" s="64">
        <f>IF(A32="","",IFERROR(MAX(0,FLOOR(MIN((D32-$B$9*C32)/($B$5*$B$7),(G32*(1-$B$10)-H32)/($B$6/1024)),1)),""))</f>
        <v/>
      </c>
    </row>
    <row r="33" ht="22" customHeight="1">
      <c r="A33" s="57">
        <f>IFERROR(INDEX(tHosts[ClusterDatacenter],MATCH(0,COUNTIF($A$15:$A$32,tHosts[ClusterDatacenter]),0)),"")</f>
        <v/>
      </c>
      <c r="B33" s="58">
        <f>IF(A33="","",COUNTIF(tHosts[ClusterDatacenter],A33))</f>
        <v/>
      </c>
      <c r="C33" s="58">
        <f>IF(A33="","",SUMIF(tHosts[ClusterDatacenter],A33,tHosts[CPUs]))</f>
        <v/>
      </c>
      <c r="D33" s="58">
        <f>IF(A33="","",SUMIF(tHosts[ClusterDatacenter],A33,tHosts[CPU free cores]))</f>
        <v/>
      </c>
      <c r="E33" s="59">
        <f>IF(A33="","",IFERROR(AVERAGEIF(tHosts[ClusterDatacenter],A33,tHosts[Consumed CPU %]),0))</f>
        <v/>
      </c>
      <c r="F33" s="59">
        <f>IF(A33="","",IFERROR(AVERAGEIF(tHosts[ClusterDatacenter],A33,tHosts[CPU Free %]),0))</f>
        <v/>
      </c>
      <c r="G33" s="58">
        <f>IF(A33="","",ROUND(SUMIF(tHosts[ClusterDatacenter],A33,tHosts[Memory Size (MB)])/1024,0))</f>
        <v/>
      </c>
      <c r="H33" s="58">
        <f>IF(A33="","",ROUND(SUMIF(tHosts[ClusterDatacenter],A33,tHosts[RAM])/1024,0))</f>
        <v/>
      </c>
      <c r="I33" s="59">
        <f>IF(A33="","",IFERROR(1-H33/G33,0))</f>
        <v/>
      </c>
      <c r="J33" s="58">
        <f>IF(A33="","",COUNTIF(tVMs[ClusterDatacenter],A33))</f>
        <v/>
      </c>
      <c r="K33" s="58">
        <f>IF(A33="","",IFERROR(SUMIF(tVMs[ClusterDatacenter],A33,tVMs[Provisioned Space]),0))</f>
        <v/>
      </c>
      <c r="L33" s="58">
        <f>IF(A33="","",IFERROR(SUM(tDatastores[Free]),0))</f>
        <v/>
      </c>
      <c r="M33" s="59">
        <f>IF(A33="","",IFERROR(L33/(L33+K33),0))</f>
        <v/>
      </c>
      <c r="N33" s="50" t="inlineStr"/>
      <c r="O33" s="60">
        <f>IF(OR(A33="",N33="",N33=0),"",N33*$B$5)</f>
        <v/>
      </c>
      <c r="P33" s="61">
        <f>IF(OR(A33="",N33="",N33=0),"",ROUND(N33*$B$6/1024,1))</f>
        <v/>
      </c>
      <c r="Q33" s="60">
        <f>IF(OR(A33="",N33="",N33=0),"",N33*$B$8)</f>
        <v/>
      </c>
      <c r="R33" s="62">
        <f>IF(OR(A33="",N33="",N33=0),"",IFERROR((D33-O33*$B$7)/C33,0))</f>
        <v/>
      </c>
      <c r="S33" s="63">
        <f>IF(R33="","",IF(R33&lt;$B$9,"🔴 Critique",IF(R33&lt;$B$9+0.05,"⚠️ Warning","✅ OK")))</f>
        <v/>
      </c>
      <c r="T33" s="62">
        <f>IF(OR(A33="",N33="",N33=0),"",IFERROR((G33-(H33+P33))/G33,0))</f>
        <v/>
      </c>
      <c r="U33" s="63">
        <f>IF(T33="","",IF(T33&lt;$B$10,"🔴 Critique",IF(T33&lt;$B$10+0.05,"⚠️ Warning","✅ OK")))</f>
        <v/>
      </c>
      <c r="V33" s="64">
        <f>IF(A33="","",IFERROR(MAX(0,FLOOR(MIN((D33-$B$9*C33)/($B$5*$B$7),(G33*(1-$B$10)-H33)/($B$6/1024)),1)),""))</f>
        <v/>
      </c>
    </row>
    <row r="34" ht="22" customHeight="1">
      <c r="A34" s="57">
        <f>IFERROR(INDEX(tHosts[ClusterDatacenter],MATCH(0,COUNTIF($A$15:$A$33,tHosts[ClusterDatacenter]),0)),"")</f>
        <v/>
      </c>
      <c r="B34" s="65">
        <f>IF(A34="","",COUNTIF(tHosts[ClusterDatacenter],A34))</f>
        <v/>
      </c>
      <c r="C34" s="65">
        <f>IF(A34="","",SUMIF(tHosts[ClusterDatacenter],A34,tHosts[CPUs]))</f>
        <v/>
      </c>
      <c r="D34" s="65">
        <f>IF(A34="","",SUMIF(tHosts[ClusterDatacenter],A34,tHosts[CPU free cores]))</f>
        <v/>
      </c>
      <c r="E34" s="66">
        <f>IF(A34="","",IFERROR(AVERAGEIF(tHosts[ClusterDatacenter],A34,tHosts[Consumed CPU %]),0))</f>
        <v/>
      </c>
      <c r="F34" s="66">
        <f>IF(A34="","",IFERROR(AVERAGEIF(tHosts[ClusterDatacenter],A34,tHosts[CPU Free %]),0))</f>
        <v/>
      </c>
      <c r="G34" s="65">
        <f>IF(A34="","",ROUND(SUMIF(tHosts[ClusterDatacenter],A34,tHosts[Memory Size (MB)])/1024,0))</f>
        <v/>
      </c>
      <c r="H34" s="65">
        <f>IF(A34="","",ROUND(SUMIF(tHosts[ClusterDatacenter],A34,tHosts[RAM])/1024,0))</f>
        <v/>
      </c>
      <c r="I34" s="66">
        <f>IF(A34="","",IFERROR(1-H34/G34,0))</f>
        <v/>
      </c>
      <c r="J34" s="65">
        <f>IF(A34="","",COUNTIF(tVMs[ClusterDatacenter],A34))</f>
        <v/>
      </c>
      <c r="K34" s="65">
        <f>IF(A34="","",IFERROR(SUMIF(tVMs[ClusterDatacenter],A34,tVMs[Provisioned Space]),0))</f>
        <v/>
      </c>
      <c r="L34" s="65">
        <f>IF(A34="","",IFERROR(SUM(tDatastores[Free]),0))</f>
        <v/>
      </c>
      <c r="M34" s="66">
        <f>IF(A34="","",IFERROR(L34/(L34+K34),0))</f>
        <v/>
      </c>
      <c r="N34" s="50" t="inlineStr"/>
      <c r="O34" s="60">
        <f>IF(OR(A34="",N34="",N34=0),"",N34*$B$5)</f>
        <v/>
      </c>
      <c r="P34" s="61">
        <f>IF(OR(A34="",N34="",N34=0),"",ROUND(N34*$B$6/1024,1))</f>
        <v/>
      </c>
      <c r="Q34" s="60">
        <f>IF(OR(A34="",N34="",N34=0),"",N34*$B$8)</f>
        <v/>
      </c>
      <c r="R34" s="62">
        <f>IF(OR(A34="",N34="",N34=0),"",IFERROR((D34-O34*$B$7)/C34,0))</f>
        <v/>
      </c>
      <c r="S34" s="63">
        <f>IF(R34="","",IF(R34&lt;$B$9,"🔴 Critique",IF(R34&lt;$B$9+0.05,"⚠️ Warning","✅ OK")))</f>
        <v/>
      </c>
      <c r="T34" s="62">
        <f>IF(OR(A34="",N34="",N34=0),"",IFERROR((G34-(H34+P34))/G34,0))</f>
        <v/>
      </c>
      <c r="U34" s="63">
        <f>IF(T34="","",IF(T34&lt;$B$10,"🔴 Critique",IF(T34&lt;$B$10+0.05,"⚠️ Warning","✅ OK")))</f>
        <v/>
      </c>
      <c r="V34" s="64">
        <f>IF(A34="","",IFERROR(MAX(0,FLOOR(MIN((D34-$B$9*C34)/($B$5*$B$7),(G34*(1-$B$10)-H34)/($B$6/1024)),1)),""))</f>
        <v/>
      </c>
    </row>
    <row r="37" ht="20" customHeight="1">
      <c r="A37" s="48" t="inlineStr">
        <is>
          <t xml:space="preserve">  📊  CPU &amp; RAM LIBRE : ACTUEL vs SIMULÉ</t>
        </is>
      </c>
    </row>
  </sheetData>
  <mergeCells count="12">
    <mergeCell ref="A2:V2"/>
    <mergeCell ref="A12:U12"/>
    <mergeCell ref="C7:J7"/>
    <mergeCell ref="A13:V13"/>
    <mergeCell ref="A1:V1"/>
    <mergeCell ref="C6:J6"/>
    <mergeCell ref="C10:J10"/>
    <mergeCell ref="A4:J4"/>
    <mergeCell ref="A37:U37"/>
    <mergeCell ref="C5:J5"/>
    <mergeCell ref="C8:J8"/>
    <mergeCell ref="C9:J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A237E"/>
    <outlinePr summaryBelow="1" summaryRight="1"/>
    <pageSetUpPr/>
  </sheetPr>
  <dimension ref="A1:Q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8" customHeight="1">
      <c r="A1" s="1" t="inlineStr">
        <is>
          <t>🔮  PROJECTIONS DE CAPACITÉ – 12 MOIS</t>
        </is>
      </c>
    </row>
    <row r="2" ht="14" customHeight="1">
      <c r="A2" s="2" t="inlineStr">
        <is>
          <t>✅  Alimenté depuis tHosts / tDatastores / tVMs  |  Seules les cellules bleues sont modifiables</t>
        </is>
      </c>
    </row>
    <row r="4" ht="20" customHeight="1">
      <c r="A4" s="30" t="inlineStr">
        <is>
          <t xml:space="preserve">  ⚙️  HYPOTHÈSES  (cellules bleues = modifiables)</t>
        </is>
      </c>
    </row>
    <row r="5" ht="19" customHeight="1">
      <c r="A5" s="67" t="inlineStr">
        <is>
          <t>Croissance VMs / mois</t>
        </is>
      </c>
      <c r="B5" s="68" t="n">
        <v>0.05</v>
      </c>
      <c r="C5" s="51" t="inlineStr">
        <is>
          <t>← % augmentation nb VMs/mois</t>
        </is>
      </c>
    </row>
    <row r="6" ht="19" customHeight="1">
      <c r="A6" s="67" t="inlineStr">
        <is>
          <t>Croissance CPU consommé / mois</t>
        </is>
      </c>
      <c r="B6" s="68" t="n">
        <v>0.04</v>
      </c>
      <c r="C6" s="51" t="inlineStr">
        <is>
          <t>← % augmentation usage CPU/mois</t>
        </is>
      </c>
    </row>
    <row r="7" ht="19" customHeight="1">
      <c r="A7" s="67" t="inlineStr">
        <is>
          <t>Croissance stockage utilisé / mois</t>
        </is>
      </c>
      <c r="B7" s="68" t="n">
        <v>0.06</v>
      </c>
      <c r="C7" s="51" t="inlineStr">
        <is>
          <t>← % augmentation stockage/mois</t>
        </is>
      </c>
    </row>
    <row r="8" ht="19" customHeight="1">
      <c r="A8" s="67" t="inlineStr">
        <is>
          <t>Croissance RAM consommée / mois</t>
        </is>
      </c>
      <c r="B8" s="68" t="n">
        <v>0.04</v>
      </c>
      <c r="C8" s="51" t="inlineStr">
        <is>
          <t>← % augmentation RAM/mois</t>
        </is>
      </c>
    </row>
    <row r="9" ht="19" customHeight="1">
      <c r="A9" s="67" t="inlineStr">
        <is>
          <t>Seuil alerte CPU libre (%)</t>
        </is>
      </c>
      <c r="B9" s="68" t="n">
        <v>0.2</v>
      </c>
      <c r="C9" s="51" t="inlineStr">
        <is>
          <t>← CPU libre &lt; seuil → Warning (≥20% recommandé)</t>
        </is>
      </c>
    </row>
    <row r="10" ht="19" customHeight="1">
      <c r="A10" s="67" t="inlineStr">
        <is>
          <t>Seuil alerte RAM libre (%)</t>
        </is>
      </c>
      <c r="B10" s="68" t="n">
        <v>0.2</v>
      </c>
      <c r="C10" s="51" t="inlineStr">
        <is>
          <t>← RAM libre &lt; seuil → Warning</t>
        </is>
      </c>
    </row>
    <row r="11" ht="19" customHeight="1">
      <c r="A11" s="67" t="inlineStr">
        <is>
          <t>Seuil alerte Stockage libre (%)</t>
        </is>
      </c>
      <c r="B11" s="68" t="n">
        <v>0.15</v>
      </c>
      <c r="C11" s="51" t="inlineStr">
        <is>
          <t>← Stockage libre &lt; seuil → Warning</t>
        </is>
      </c>
    </row>
    <row r="13" ht="20" customHeight="1">
      <c r="A13" s="30" t="inlineStr">
        <is>
          <t xml:space="preserve">  📅  TABLEAU DE PROJECTION M0 → M+12</t>
        </is>
      </c>
    </row>
    <row r="14" ht="32" customHeight="1">
      <c r="A14" s="39" t="inlineStr">
        <is>
          <t>Indicateur</t>
        </is>
      </c>
      <c r="B14" s="54" t="inlineStr">
        <is>
          <t>M0
(Actuel)</t>
        </is>
      </c>
      <c r="C14" s="3" t="inlineStr">
        <is>
          <t>M+1</t>
        </is>
      </c>
      <c r="D14" s="3" t="inlineStr">
        <is>
          <t>M+2</t>
        </is>
      </c>
      <c r="E14" s="3" t="inlineStr">
        <is>
          <t>M+3</t>
        </is>
      </c>
      <c r="F14" s="3" t="inlineStr">
        <is>
          <t>M+4</t>
        </is>
      </c>
      <c r="G14" s="3" t="inlineStr">
        <is>
          <t>M+5</t>
        </is>
      </c>
      <c r="H14" s="3" t="inlineStr">
        <is>
          <t>M+6</t>
        </is>
      </c>
      <c r="I14" s="3" t="inlineStr">
        <is>
          <t>M+7</t>
        </is>
      </c>
      <c r="J14" s="3" t="inlineStr">
        <is>
          <t>M+8</t>
        </is>
      </c>
      <c r="K14" s="3" t="inlineStr">
        <is>
          <t>M+9</t>
        </is>
      </c>
      <c r="L14" s="3" t="inlineStr">
        <is>
          <t>M+10</t>
        </is>
      </c>
      <c r="M14" s="3" t="inlineStr">
        <is>
          <t>M+11</t>
        </is>
      </c>
      <c r="N14" s="3" t="inlineStr">
        <is>
          <t>M+12</t>
        </is>
      </c>
    </row>
    <row r="15" ht="19" customHeight="1">
      <c r="A15" s="69" t="inlineStr">
        <is>
          <t>── VMs ──</t>
        </is>
      </c>
      <c r="B15" s="70" t="n"/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  <c r="O15" s="70" t="n"/>
    </row>
    <row r="16" ht="19" customHeight="1">
      <c r="A16" s="71" t="inlineStr">
        <is>
          <t>Nb VMs (total)</t>
        </is>
      </c>
      <c r="B16" s="37">
        <f>COUNTA(tVMs[Name])</f>
        <v/>
      </c>
      <c r="C16" s="37">
        <f>B16*(1+$B$5)</f>
        <v/>
      </c>
      <c r="D16" s="37">
        <f>C16*(1+$B$5)</f>
        <v/>
      </c>
      <c r="E16" s="37">
        <f>D16*(1+$B$5)</f>
        <v/>
      </c>
      <c r="F16" s="37">
        <f>E16*(1+$B$5)</f>
        <v/>
      </c>
      <c r="G16" s="37">
        <f>F16*(1+$B$5)</f>
        <v/>
      </c>
      <c r="H16" s="37">
        <f>G16*(1+$B$5)</f>
        <v/>
      </c>
      <c r="I16" s="37">
        <f>H16*(1+$B$5)</f>
        <v/>
      </c>
      <c r="J16" s="37">
        <f>I16*(1+$B$5)</f>
        <v/>
      </c>
      <c r="K16" s="37">
        <f>J16*(1+$B$5)</f>
        <v/>
      </c>
      <c r="L16" s="37">
        <f>K16*(1+$B$5)</f>
        <v/>
      </c>
      <c r="M16" s="37">
        <f>L16*(1+$B$5)</f>
        <v/>
      </c>
      <c r="N16" s="37">
        <f>M16*(1+$B$5)</f>
        <v/>
      </c>
    </row>
    <row r="17" ht="19" customHeight="1">
      <c r="A17" s="71" t="inlineStr">
        <is>
          <t>VMs poweredOn</t>
        </is>
      </c>
      <c r="B17" s="33">
        <f>COUNTIF(tVMs[State],"poweredOn")</f>
        <v/>
      </c>
      <c r="C17" s="33">
        <f>B17*(1+$B$5)</f>
        <v/>
      </c>
      <c r="D17" s="33">
        <f>C17*(1+$B$5)</f>
        <v/>
      </c>
      <c r="E17" s="33">
        <f>D17*(1+$B$5)</f>
        <v/>
      </c>
      <c r="F17" s="33">
        <f>E17*(1+$B$5)</f>
        <v/>
      </c>
      <c r="G17" s="33">
        <f>F17*(1+$B$5)</f>
        <v/>
      </c>
      <c r="H17" s="33">
        <f>G17*(1+$B$5)</f>
        <v/>
      </c>
      <c r="I17" s="33">
        <f>H17*(1+$B$5)</f>
        <v/>
      </c>
      <c r="J17" s="33">
        <f>I17*(1+$B$5)</f>
        <v/>
      </c>
      <c r="K17" s="33">
        <f>J17*(1+$B$5)</f>
        <v/>
      </c>
      <c r="L17" s="33">
        <f>K17*(1+$B$5)</f>
        <v/>
      </c>
      <c r="M17" s="33">
        <f>L17*(1+$B$5)</f>
        <v/>
      </c>
      <c r="N17" s="33">
        <f>M17*(1+$B$5)</f>
        <v/>
      </c>
    </row>
    <row r="18" ht="19" customHeight="1">
      <c r="A18" s="69" t="inlineStr">
        <is>
          <t>── CPU ──</t>
        </is>
      </c>
      <c r="B18" s="70" t="n"/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</row>
    <row r="19" ht="19" customHeight="1">
      <c r="A19" s="71" t="inlineStr">
        <is>
          <t>CPU cons. moy. (%)</t>
        </is>
      </c>
      <c r="B19" s="34">
        <f>IFERROR(AVERAGEIF(tHosts[State],"connected",tHosts[Consumed CPU %]),0)</f>
        <v/>
      </c>
      <c r="C19" s="34">
        <f>B19*(1+$B$6)</f>
        <v/>
      </c>
      <c r="D19" s="34">
        <f>C19*(1+$B$6)</f>
        <v/>
      </c>
      <c r="E19" s="34">
        <f>D19*(1+$B$6)</f>
        <v/>
      </c>
      <c r="F19" s="34">
        <f>E19*(1+$B$6)</f>
        <v/>
      </c>
      <c r="G19" s="34">
        <f>F19*(1+$B$6)</f>
        <v/>
      </c>
      <c r="H19" s="34">
        <f>G19*(1+$B$6)</f>
        <v/>
      </c>
      <c r="I19" s="34">
        <f>H19*(1+$B$6)</f>
        <v/>
      </c>
      <c r="J19" s="34">
        <f>I19*(1+$B$6)</f>
        <v/>
      </c>
      <c r="K19" s="34">
        <f>J19*(1+$B$6)</f>
        <v/>
      </c>
      <c r="L19" s="34">
        <f>K19*(1+$B$6)</f>
        <v/>
      </c>
      <c r="M19" s="34">
        <f>L19*(1+$B$6)</f>
        <v/>
      </c>
      <c r="N19" s="34">
        <f>M19*(1+$B$6)</f>
        <v/>
      </c>
    </row>
    <row r="20" ht="19" customHeight="1">
      <c r="A20" s="71" t="inlineStr">
        <is>
          <t>CPU libre moy. (%)</t>
        </is>
      </c>
      <c r="B20" s="38">
        <f>IFERROR(1-B19,0)</f>
        <v/>
      </c>
      <c r="C20" s="38">
        <f>IFERROR(1-C19,0)</f>
        <v/>
      </c>
      <c r="D20" s="38">
        <f>IFERROR(1-D19,0)</f>
        <v/>
      </c>
      <c r="E20" s="38">
        <f>IFERROR(1-E19,0)</f>
        <v/>
      </c>
      <c r="F20" s="38">
        <f>IFERROR(1-F19,0)</f>
        <v/>
      </c>
      <c r="G20" s="38">
        <f>IFERROR(1-G19,0)</f>
        <v/>
      </c>
      <c r="H20" s="38">
        <f>IFERROR(1-H19,0)</f>
        <v/>
      </c>
      <c r="I20" s="38">
        <f>IFERROR(1-I19,0)</f>
        <v/>
      </c>
      <c r="J20" s="38">
        <f>IFERROR(1-J19,0)</f>
        <v/>
      </c>
      <c r="K20" s="38">
        <f>IFERROR(1-K19,0)</f>
        <v/>
      </c>
      <c r="L20" s="38">
        <f>IFERROR(1-L19,0)</f>
        <v/>
      </c>
      <c r="M20" s="38">
        <f>IFERROR(1-M19,0)</f>
        <v/>
      </c>
      <c r="N20" s="38">
        <f>IFERROR(1-N19,0)</f>
        <v/>
      </c>
    </row>
    <row r="21" ht="19" customHeight="1">
      <c r="A21" s="71" t="inlineStr">
        <is>
          <t>Cœurs libres (total)</t>
        </is>
      </c>
      <c r="B21" s="33">
        <f>IFERROR(SUMIF(tHosts[State],"connected",tHosts[CPU free cores]),0)</f>
        <v/>
      </c>
      <c r="C21" s="33">
        <f>B21</f>
        <v/>
      </c>
      <c r="D21" s="33">
        <f>C21</f>
        <v/>
      </c>
      <c r="E21" s="33">
        <f>D21</f>
        <v/>
      </c>
      <c r="F21" s="33">
        <f>E21</f>
        <v/>
      </c>
      <c r="G21" s="33">
        <f>F21</f>
        <v/>
      </c>
      <c r="H21" s="33">
        <f>G21</f>
        <v/>
      </c>
      <c r="I21" s="33">
        <f>H21</f>
        <v/>
      </c>
      <c r="J21" s="33">
        <f>I21</f>
        <v/>
      </c>
      <c r="K21" s="33">
        <f>J21</f>
        <v/>
      </c>
      <c r="L21" s="33">
        <f>K21</f>
        <v/>
      </c>
      <c r="M21" s="33">
        <f>L21</f>
        <v/>
      </c>
      <c r="N21" s="33">
        <f>M21</f>
        <v/>
      </c>
    </row>
    <row r="22" ht="19" customHeight="1">
      <c r="A22" s="71" t="inlineStr">
        <is>
          <t>Statut CPU</t>
        </is>
      </c>
      <c r="B22" s="36">
        <f>IF(B20&lt;$B$9,"🔴 Critique",IF(B20&lt;$B$9+0.05,"⚠️ Warning","✅ OK"))</f>
        <v/>
      </c>
      <c r="C22" s="36">
        <f>IF(C20&lt;$B$9,"🔴 Critique",IF(C20&lt;$B$9+0.05,"⚠️ Warning","✅ OK"))</f>
        <v/>
      </c>
      <c r="D22" s="36">
        <f>IF(D20&lt;$B$9,"🔴 Critique",IF(D20&lt;$B$9+0.05,"⚠️ Warning","✅ OK"))</f>
        <v/>
      </c>
      <c r="E22" s="36">
        <f>IF(E20&lt;$B$9,"🔴 Critique",IF(E20&lt;$B$9+0.05,"⚠️ Warning","✅ OK"))</f>
        <v/>
      </c>
      <c r="F22" s="36">
        <f>IF(F20&lt;$B$9,"🔴 Critique",IF(F20&lt;$B$9+0.05,"⚠️ Warning","✅ OK"))</f>
        <v/>
      </c>
      <c r="G22" s="36">
        <f>IF(G20&lt;$B$9,"🔴 Critique",IF(G20&lt;$B$9+0.05,"⚠️ Warning","✅ OK"))</f>
        <v/>
      </c>
      <c r="H22" s="36">
        <f>IF(H20&lt;$B$9,"🔴 Critique",IF(H20&lt;$B$9+0.05,"⚠️ Warning","✅ OK"))</f>
        <v/>
      </c>
      <c r="I22" s="36">
        <f>IF(I20&lt;$B$9,"🔴 Critique",IF(I20&lt;$B$9+0.05,"⚠️ Warning","✅ OK"))</f>
        <v/>
      </c>
      <c r="J22" s="36">
        <f>IF(J20&lt;$B$9,"🔴 Critique",IF(J20&lt;$B$9+0.05,"⚠️ Warning","✅ OK"))</f>
        <v/>
      </c>
      <c r="K22" s="36">
        <f>IF(K20&lt;$B$9,"🔴 Critique",IF(K20&lt;$B$9+0.05,"⚠️ Warning","✅ OK"))</f>
        <v/>
      </c>
      <c r="L22" s="36">
        <f>IF(L20&lt;$B$9,"🔴 Critique",IF(L20&lt;$B$9+0.05,"⚠️ Warning","✅ OK"))</f>
        <v/>
      </c>
      <c r="M22" s="36">
        <f>IF(M20&lt;$B$9,"🔴 Critique",IF(M20&lt;$B$9+0.05,"⚠️ Warning","✅ OK"))</f>
        <v/>
      </c>
      <c r="N22" s="36">
        <f>IF(N20&lt;$B$9,"🔴 Critique",IF(N20&lt;$B$9+0.05,"⚠️ Warning","✅ OK"))</f>
        <v/>
      </c>
    </row>
    <row r="23" ht="19" customHeight="1">
      <c r="A23" s="69" t="inlineStr">
        <is>
          <t>── RAM ──</t>
        </is>
      </c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</row>
    <row r="24" ht="19" customHeight="1">
      <c r="A24" s="71" t="inlineStr">
        <is>
          <t>RAM cons. moy. (MB)</t>
        </is>
      </c>
      <c r="B24" s="37">
        <f>IFERROR(AVERAGEIF(tHosts[State],"connected",tHosts[RAM]),0)</f>
        <v/>
      </c>
      <c r="C24" s="37">
        <f>B24*(1+$B$8)</f>
        <v/>
      </c>
      <c r="D24" s="37">
        <f>C24*(1+$B$8)</f>
        <v/>
      </c>
      <c r="E24" s="37">
        <f>D24*(1+$B$8)</f>
        <v/>
      </c>
      <c r="F24" s="37">
        <f>E24*(1+$B$8)</f>
        <v/>
      </c>
      <c r="G24" s="37">
        <f>F24*(1+$B$8)</f>
        <v/>
      </c>
      <c r="H24" s="37">
        <f>G24*(1+$B$8)</f>
        <v/>
      </c>
      <c r="I24" s="37">
        <f>H24*(1+$B$8)</f>
        <v/>
      </c>
      <c r="J24" s="37">
        <f>I24*(1+$B$8)</f>
        <v/>
      </c>
      <c r="K24" s="37">
        <f>J24*(1+$B$8)</f>
        <v/>
      </c>
      <c r="L24" s="37">
        <f>K24*(1+$B$8)</f>
        <v/>
      </c>
      <c r="M24" s="37">
        <f>L24*(1+$B$8)</f>
        <v/>
      </c>
      <c r="N24" s="37">
        <f>M24*(1+$B$8)</f>
        <v/>
      </c>
    </row>
    <row r="25" ht="19" customHeight="1">
      <c r="A25" s="71" t="inlineStr">
        <is>
          <t>RAM totale (GB)</t>
        </is>
      </c>
      <c r="B25" s="33">
        <f>IFERROR(ROUND(SUMIF(tHosts[State],"connected",tHosts[Memory Size (MB)])/1024,0),0)</f>
        <v/>
      </c>
      <c r="C25" s="33">
        <f>B25</f>
        <v/>
      </c>
      <c r="D25" s="33">
        <f>C25</f>
        <v/>
      </c>
      <c r="E25" s="33">
        <f>D25</f>
        <v/>
      </c>
      <c r="F25" s="33">
        <f>E25</f>
        <v/>
      </c>
      <c r="G25" s="33">
        <f>F25</f>
        <v/>
      </c>
      <c r="H25" s="33">
        <f>G25</f>
        <v/>
      </c>
      <c r="I25" s="33">
        <f>H25</f>
        <v/>
      </c>
      <c r="J25" s="33">
        <f>I25</f>
        <v/>
      </c>
      <c r="K25" s="33">
        <f>J25</f>
        <v/>
      </c>
      <c r="L25" s="33">
        <f>K25</f>
        <v/>
      </c>
      <c r="M25" s="33">
        <f>L25</f>
        <v/>
      </c>
      <c r="N25" s="33">
        <f>M25</f>
        <v/>
      </c>
    </row>
    <row r="26" ht="19" customHeight="1">
      <c r="A26" s="71" t="inlineStr">
        <is>
          <t>RAM libre (%)</t>
        </is>
      </c>
      <c r="B26" s="38">
        <f>IFERROR(1-(B24/(B25*1024)),0)</f>
        <v/>
      </c>
      <c r="C26" s="38">
        <f>IFERROR(1-(C24/(C25*1024)),0)</f>
        <v/>
      </c>
      <c r="D26" s="38">
        <f>IFERROR(1-(D24/(D25*1024)),0)</f>
        <v/>
      </c>
      <c r="E26" s="38">
        <f>IFERROR(1-(E24/(E25*1024)),0)</f>
        <v/>
      </c>
      <c r="F26" s="38">
        <f>IFERROR(1-(F24/(F25*1024)),0)</f>
        <v/>
      </c>
      <c r="G26" s="38">
        <f>IFERROR(1-(G24/(G25*1024)),0)</f>
        <v/>
      </c>
      <c r="H26" s="38">
        <f>IFERROR(1-(H24/(H25*1024)),0)</f>
        <v/>
      </c>
      <c r="I26" s="38">
        <f>IFERROR(1-(I24/(I25*1024)),0)</f>
        <v/>
      </c>
      <c r="J26" s="38">
        <f>IFERROR(1-(J24/(J25*1024)),0)</f>
        <v/>
      </c>
      <c r="K26" s="38">
        <f>IFERROR(1-(K24/(K25*1024)),0)</f>
        <v/>
      </c>
      <c r="L26" s="38">
        <f>IFERROR(1-(L24/(L25*1024)),0)</f>
        <v/>
      </c>
      <c r="M26" s="38">
        <f>IFERROR(1-(M24/(M25*1024)),0)</f>
        <v/>
      </c>
      <c r="N26" s="38">
        <f>IFERROR(1-(N24/(N25*1024)),0)</f>
        <v/>
      </c>
    </row>
    <row r="27" ht="19" customHeight="1">
      <c r="A27" s="71" t="inlineStr">
        <is>
          <t>Statut RAM</t>
        </is>
      </c>
      <c r="B27" s="32">
        <f>IF(B26&lt;$B$10,"🔴 Critique",IF(B26&lt;$B$10+0.05,"⚠️ Warning","✅ OK"))</f>
        <v/>
      </c>
      <c r="C27" s="32">
        <f>IF(C26&lt;$B$10,"🔴 Critique",IF(C26&lt;$B$10+0.05,"⚠️ Warning","✅ OK"))</f>
        <v/>
      </c>
      <c r="D27" s="32">
        <f>IF(D26&lt;$B$10,"🔴 Critique",IF(D26&lt;$B$10+0.05,"⚠️ Warning","✅ OK"))</f>
        <v/>
      </c>
      <c r="E27" s="32">
        <f>IF(E26&lt;$B$10,"🔴 Critique",IF(E26&lt;$B$10+0.05,"⚠️ Warning","✅ OK"))</f>
        <v/>
      </c>
      <c r="F27" s="32">
        <f>IF(F26&lt;$B$10,"🔴 Critique",IF(F26&lt;$B$10+0.05,"⚠️ Warning","✅ OK"))</f>
        <v/>
      </c>
      <c r="G27" s="32">
        <f>IF(G26&lt;$B$10,"🔴 Critique",IF(G26&lt;$B$10+0.05,"⚠️ Warning","✅ OK"))</f>
        <v/>
      </c>
      <c r="H27" s="32">
        <f>IF(H26&lt;$B$10,"🔴 Critique",IF(H26&lt;$B$10+0.05,"⚠️ Warning","✅ OK"))</f>
        <v/>
      </c>
      <c r="I27" s="32">
        <f>IF(I26&lt;$B$10,"🔴 Critique",IF(I26&lt;$B$10+0.05,"⚠️ Warning","✅ OK"))</f>
        <v/>
      </c>
      <c r="J27" s="32">
        <f>IF(J26&lt;$B$10,"🔴 Critique",IF(J26&lt;$B$10+0.05,"⚠️ Warning","✅ OK"))</f>
        <v/>
      </c>
      <c r="K27" s="32">
        <f>IF(K26&lt;$B$10,"🔴 Critique",IF(K26&lt;$B$10+0.05,"⚠️ Warning","✅ OK"))</f>
        <v/>
      </c>
      <c r="L27" s="32">
        <f>IF(L26&lt;$B$10,"🔴 Critique",IF(L26&lt;$B$10+0.05,"⚠️ Warning","✅ OK"))</f>
        <v/>
      </c>
      <c r="M27" s="32">
        <f>IF(M26&lt;$B$10,"🔴 Critique",IF(M26&lt;$B$10+0.05,"⚠️ Warning","✅ OK"))</f>
        <v/>
      </c>
      <c r="N27" s="32">
        <f>IF(N26&lt;$B$10,"🔴 Critique",IF(N26&lt;$B$10+0.05,"⚠️ Warning","✅ OK"))</f>
        <v/>
      </c>
    </row>
    <row r="28" ht="19" customHeight="1">
      <c r="A28" s="69" t="inlineStr">
        <is>
          <t>── Stockage ──</t>
        </is>
      </c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</row>
    <row r="29" ht="19" customHeight="1">
      <c r="A29" s="71" t="inlineStr">
        <is>
          <t>Stockage utilisé (GB)</t>
        </is>
      </c>
      <c r="B29" s="33">
        <f>IFERROR(SUM(tDatastores[Capacity])-SUM(tDatastores[Free]),0)</f>
        <v/>
      </c>
      <c r="C29" s="33">
        <f>B29*(1+$B$7)</f>
        <v/>
      </c>
      <c r="D29" s="33">
        <f>C29*(1+$B$7)</f>
        <v/>
      </c>
      <c r="E29" s="33">
        <f>D29*(1+$B$7)</f>
        <v/>
      </c>
      <c r="F29" s="33">
        <f>E29*(1+$B$7)</f>
        <v/>
      </c>
      <c r="G29" s="33">
        <f>F29*(1+$B$7)</f>
        <v/>
      </c>
      <c r="H29" s="33">
        <f>G29*(1+$B$7)</f>
        <v/>
      </c>
      <c r="I29" s="33">
        <f>H29*(1+$B$7)</f>
        <v/>
      </c>
      <c r="J29" s="33">
        <f>I29*(1+$B$7)</f>
        <v/>
      </c>
      <c r="K29" s="33">
        <f>J29*(1+$B$7)</f>
        <v/>
      </c>
      <c r="L29" s="33">
        <f>K29*(1+$B$7)</f>
        <v/>
      </c>
      <c r="M29" s="33">
        <f>L29*(1+$B$7)</f>
        <v/>
      </c>
      <c r="N29" s="33">
        <f>M29*(1+$B$7)</f>
        <v/>
      </c>
    </row>
    <row r="30" ht="19" customHeight="1">
      <c r="A30" s="71" t="inlineStr">
        <is>
          <t>Stockage total (GB)</t>
        </is>
      </c>
      <c r="B30" s="37">
        <f>IFERROR(SUM(tDatastores[Capacity]),0)</f>
        <v/>
      </c>
      <c r="C30" s="37">
        <f>B30</f>
        <v/>
      </c>
      <c r="D30" s="37">
        <f>C30</f>
        <v/>
      </c>
      <c r="E30" s="37">
        <f>D30</f>
        <v/>
      </c>
      <c r="F30" s="37">
        <f>E30</f>
        <v/>
      </c>
      <c r="G30" s="37">
        <f>F30</f>
        <v/>
      </c>
      <c r="H30" s="37">
        <f>G30</f>
        <v/>
      </c>
      <c r="I30" s="37">
        <f>H30</f>
        <v/>
      </c>
      <c r="J30" s="37">
        <f>I30</f>
        <v/>
      </c>
      <c r="K30" s="37">
        <f>J30</f>
        <v/>
      </c>
      <c r="L30" s="37">
        <f>K30</f>
        <v/>
      </c>
      <c r="M30" s="37">
        <f>L30</f>
        <v/>
      </c>
      <c r="N30" s="37">
        <f>M30</f>
        <v/>
      </c>
    </row>
    <row r="31" ht="19" customHeight="1">
      <c r="A31" s="71" t="inlineStr">
        <is>
          <t>Stockage libre (%)</t>
        </is>
      </c>
      <c r="B31" s="34">
        <f>IFERROR(1-B29/B30,0)</f>
        <v/>
      </c>
      <c r="C31" s="34">
        <f>IFERROR(1-C29/C30,0)</f>
        <v/>
      </c>
      <c r="D31" s="34">
        <f>IFERROR(1-D29/D30,0)</f>
        <v/>
      </c>
      <c r="E31" s="34">
        <f>IFERROR(1-E29/E30,0)</f>
        <v/>
      </c>
      <c r="F31" s="34">
        <f>IFERROR(1-F29/F30,0)</f>
        <v/>
      </c>
      <c r="G31" s="34">
        <f>IFERROR(1-G29/G30,0)</f>
        <v/>
      </c>
      <c r="H31" s="34">
        <f>IFERROR(1-H29/H30,0)</f>
        <v/>
      </c>
      <c r="I31" s="34">
        <f>IFERROR(1-I29/I30,0)</f>
        <v/>
      </c>
      <c r="J31" s="34">
        <f>IFERROR(1-J29/J30,0)</f>
        <v/>
      </c>
      <c r="K31" s="34">
        <f>IFERROR(1-K29/K30,0)</f>
        <v/>
      </c>
      <c r="L31" s="34">
        <f>IFERROR(1-L29/L30,0)</f>
        <v/>
      </c>
      <c r="M31" s="34">
        <f>IFERROR(1-M29/M30,0)</f>
        <v/>
      </c>
      <c r="N31" s="34">
        <f>IFERROR(1-N29/N30,0)</f>
        <v/>
      </c>
    </row>
    <row r="32" ht="19" customHeight="1">
      <c r="A32" s="71" t="inlineStr">
        <is>
          <t>Statut Stockage</t>
        </is>
      </c>
      <c r="B32" s="36">
        <f>IF(B31&lt;$B$11,"🔴 Critique",IF(B31&lt;$B$11+0.05,"⚠️ Warning","✅ OK"))</f>
        <v/>
      </c>
      <c r="C32" s="36">
        <f>IF(C31&lt;$B$11,"🔴 Critique",IF(C31&lt;$B$11+0.05,"⚠️ Warning","✅ OK"))</f>
        <v/>
      </c>
      <c r="D32" s="36">
        <f>IF(D31&lt;$B$11,"🔴 Critique",IF(D31&lt;$B$11+0.05,"⚠️ Warning","✅ OK"))</f>
        <v/>
      </c>
      <c r="E32" s="36">
        <f>IF(E31&lt;$B$11,"🔴 Critique",IF(E31&lt;$B$11+0.05,"⚠️ Warning","✅ OK"))</f>
        <v/>
      </c>
      <c r="F32" s="36">
        <f>IF(F31&lt;$B$11,"🔴 Critique",IF(F31&lt;$B$11+0.05,"⚠️ Warning","✅ OK"))</f>
        <v/>
      </c>
      <c r="G32" s="36">
        <f>IF(G31&lt;$B$11,"🔴 Critique",IF(G31&lt;$B$11+0.05,"⚠️ Warning","✅ OK"))</f>
        <v/>
      </c>
      <c r="H32" s="36">
        <f>IF(H31&lt;$B$11,"🔴 Critique",IF(H31&lt;$B$11+0.05,"⚠️ Warning","✅ OK"))</f>
        <v/>
      </c>
      <c r="I32" s="36">
        <f>IF(I31&lt;$B$11,"🔴 Critique",IF(I31&lt;$B$11+0.05,"⚠️ Warning","✅ OK"))</f>
        <v/>
      </c>
      <c r="J32" s="36">
        <f>IF(J31&lt;$B$11,"🔴 Critique",IF(J31&lt;$B$11+0.05,"⚠️ Warning","✅ OK"))</f>
        <v/>
      </c>
      <c r="K32" s="36">
        <f>IF(K31&lt;$B$11,"🔴 Critique",IF(K31&lt;$B$11+0.05,"⚠️ Warning","✅ OK"))</f>
        <v/>
      </c>
      <c r="L32" s="36">
        <f>IF(L31&lt;$B$11,"🔴 Critique",IF(L31&lt;$B$11+0.05,"⚠️ Warning","✅ OK"))</f>
        <v/>
      </c>
      <c r="M32" s="36">
        <f>IF(M31&lt;$B$11,"🔴 Critique",IF(M31&lt;$B$11+0.05,"⚠️ Warning","✅ OK"))</f>
        <v/>
      </c>
      <c r="N32" s="36">
        <f>IF(N31&lt;$B$11,"🔴 Critique",IF(N31&lt;$B$11+0.05,"⚠️ Warning","✅ OK"))</f>
        <v/>
      </c>
    </row>
    <row r="35" ht="20" customHeight="1">
      <c r="A35" s="30" t="inlineStr">
        <is>
          <t xml:space="preserve">  📈  GRAPHIQUES DE PROJECTION</t>
        </is>
      </c>
    </row>
  </sheetData>
  <mergeCells count="9">
    <mergeCell ref="A15:O15"/>
    <mergeCell ref="A4:E4"/>
    <mergeCell ref="A13:P13"/>
    <mergeCell ref="A28:O28"/>
    <mergeCell ref="A2:Q2"/>
    <mergeCell ref="A23:O23"/>
    <mergeCell ref="A35:P35"/>
    <mergeCell ref="A18:O18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B71C1C"/>
    <outlinePr summaryBelow="1" summaryRight="1"/>
    <pageSetUpPr/>
  </sheetPr>
  <dimension ref="A1:U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10" customHeight="1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</row>
    <row r="2" ht="58" customHeight="1">
      <c r="A2" s="72" t="n"/>
      <c r="B2" s="73" t="inlineStr">
        <is>
          <t>📈  VMWARE CAPACITY PLANNING — DASHBOARD</t>
        </is>
      </c>
    </row>
    <row r="3" ht="6" customHeight="1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</row>
    <row r="4" ht="18" customHeight="1">
      <c r="B4" s="75" t="inlineStr">
        <is>
          <t>Généré le 23 March 2026  |  vCenter 8.x  |  Recalcul automatique via tHosts / tDatastores / tVMs</t>
        </is>
      </c>
    </row>
    <row r="6" ht="20" customHeight="1">
      <c r="B6" s="30" t="inlineStr">
        <is>
          <t xml:space="preserve">  🖥️  COMPUTE</t>
        </is>
      </c>
    </row>
    <row r="7" ht="18" customHeight="1">
      <c r="B7" s="17" t="inlineStr">
        <is>
          <t>Hosts actifs</t>
        </is>
      </c>
      <c r="C7" s="18" t="n"/>
      <c r="F7" s="17" t="inlineStr">
        <is>
          <t>Total CPUs</t>
        </is>
      </c>
      <c r="G7" s="18" t="n"/>
      <c r="J7" s="19" t="inlineStr">
        <is>
          <t>CPU cons. moy.</t>
        </is>
      </c>
      <c r="K7" s="18" t="n"/>
      <c r="N7" s="20" t="inlineStr">
        <is>
          <t>CPU libre moy.</t>
        </is>
      </c>
      <c r="O7" s="18" t="n"/>
      <c r="R7" s="17" t="inlineStr">
        <is>
          <t>RAM Totale</t>
        </is>
      </c>
      <c r="S7" s="18" t="n"/>
    </row>
    <row r="8" ht="40" customHeight="1">
      <c r="B8" s="22">
        <f>COUNTIF(tHosts[State],"connected")</f>
        <v/>
      </c>
      <c r="C8" s="18" t="n"/>
      <c r="F8" s="22">
        <f>SUMIF(tHosts[State],"connected",tHosts[CPUs])</f>
        <v/>
      </c>
      <c r="G8" s="18" t="n"/>
      <c r="J8" s="23">
        <f>IFERROR(AVERAGEIF(tHosts[State],"connected",tHosts[Consumed CPU %]),0)</f>
        <v/>
      </c>
      <c r="K8" s="18" t="n"/>
      <c r="N8" s="24">
        <f>IFERROR(AVERAGEIF(tHosts[State],"connected",tHosts[CPU Free %]),0)</f>
        <v/>
      </c>
      <c r="O8" s="18" t="n"/>
      <c r="R8" s="22">
        <f>IFERROR(ROUND(SUMIF(tHosts[State],"connected",tHosts[Memory Size (MB)])/1024,0),0)</f>
        <v/>
      </c>
      <c r="S8" s="18" t="n"/>
    </row>
    <row r="9" ht="14" customHeight="1">
      <c r="B9" s="26" t="inlineStr">
        <is>
          <t>actifs</t>
        </is>
      </c>
      <c r="C9" s="18" t="n"/>
      <c r="F9" s="26" t="inlineStr">
        <is>
          <t>logiques</t>
        </is>
      </c>
      <c r="G9" s="18" t="n"/>
      <c r="J9" s="27" t="inlineStr">
        <is>
          <t>moy. % used</t>
        </is>
      </c>
      <c r="K9" s="18" t="n"/>
      <c r="N9" s="28" t="inlineStr">
        <is>
          <t>moy. % free</t>
        </is>
      </c>
      <c r="O9" s="18" t="n"/>
      <c r="R9" s="26" t="inlineStr">
        <is>
          <t>GB total</t>
        </is>
      </c>
      <c r="S9" s="18" t="n"/>
    </row>
    <row r="11" ht="20" customHeight="1">
      <c r="B11" s="43" t="inlineStr">
        <is>
          <t xml:space="preserve">  💽  STOCKAGE &amp; VMs</t>
        </is>
      </c>
    </row>
    <row r="12" ht="18" customHeight="1">
      <c r="B12" s="17" t="inlineStr">
        <is>
          <t>Total VMs</t>
        </is>
      </c>
      <c r="C12" s="18" t="n"/>
      <c r="F12" s="20" t="inlineStr">
        <is>
          <t>VMs actives</t>
        </is>
      </c>
      <c r="G12" s="18" t="n"/>
      <c r="J12" s="19" t="inlineStr">
        <is>
          <t>VMs éteintes</t>
        </is>
      </c>
      <c r="K12" s="18" t="n"/>
      <c r="N12" s="17" t="inlineStr">
        <is>
          <t>Cap. Stockage</t>
        </is>
      </c>
      <c r="O12" s="18" t="n"/>
      <c r="R12" s="76" t="inlineStr">
        <is>
          <t>Usage Stockage</t>
        </is>
      </c>
      <c r="S12" s="18" t="n"/>
    </row>
    <row r="13" ht="40" customHeight="1">
      <c r="B13" s="22">
        <f>COUNTA(tVMs[Name])</f>
        <v/>
      </c>
      <c r="C13" s="18" t="n"/>
      <c r="F13" s="42">
        <f>COUNTIF(tVMs[State],"poweredOn")</f>
        <v/>
      </c>
      <c r="G13" s="18" t="n"/>
      <c r="J13" s="77">
        <f>COUNTIF(tVMs[State],"poweredOff")</f>
        <v/>
      </c>
      <c r="K13" s="18" t="n"/>
      <c r="N13" s="41">
        <f>IFERROR(ROUND(SUM(tDatastores[Capacity TB]),1),0)</f>
        <v/>
      </c>
      <c r="O13" s="18" t="n"/>
      <c r="R13" s="78">
        <f>IFERROR(1-SUM(tDatastores[Free])/SUM(tDatastores[Capacity]),0)</f>
        <v/>
      </c>
      <c r="S13" s="18" t="n"/>
    </row>
    <row r="14" ht="14" customHeight="1">
      <c r="B14" s="26" t="inlineStr">
        <is>
          <t>VMs inventaire</t>
        </is>
      </c>
      <c r="C14" s="18" t="n"/>
      <c r="F14" s="28" t="inlineStr">
        <is>
          <t>poweredOn</t>
        </is>
      </c>
      <c r="G14" s="18" t="n"/>
      <c r="J14" s="27" t="inlineStr">
        <is>
          <t>poweredOff</t>
        </is>
      </c>
      <c r="K14" s="18" t="n"/>
      <c r="N14" s="26" t="inlineStr">
        <is>
          <t>TB total</t>
        </is>
      </c>
      <c r="O14" s="18" t="n"/>
      <c r="R14" s="79" t="inlineStr">
        <is>
          <t>% utilisé global</t>
        </is>
      </c>
      <c r="S14" s="18" t="n"/>
    </row>
    <row r="16" ht="20" customHeight="1">
      <c r="B16" s="80" t="inlineStr">
        <is>
          <t xml:space="preserve">  🚨  ALERTES INFRASTRUCTURE</t>
        </is>
      </c>
    </row>
    <row r="17" ht="20" customHeight="1">
      <c r="B17" s="81" t="inlineStr">
        <is>
          <t>Hosts Status rouge</t>
        </is>
      </c>
      <c r="C17" s="52" t="n"/>
      <c r="D17" s="52" t="n"/>
      <c r="E17" s="52" t="n"/>
      <c r="F17" s="52" t="n"/>
      <c r="G17" s="18" t="n"/>
      <c r="H17" s="82">
        <f>COUNTIF(tHosts[Status],"red")</f>
        <v/>
      </c>
      <c r="I17" s="52" t="n"/>
      <c r="J17" s="18" t="n"/>
    </row>
    <row r="18" ht="20" customHeight="1">
      <c r="B18" s="81" t="inlineStr">
        <is>
          <t>Hosts Status jaune</t>
        </is>
      </c>
      <c r="C18" s="52" t="n"/>
      <c r="D18" s="52" t="n"/>
      <c r="E18" s="52" t="n"/>
      <c r="F18" s="52" t="n"/>
      <c r="G18" s="18" t="n"/>
      <c r="H18" s="83">
        <f>COUNTIF(tHosts[Status],"yellow")</f>
        <v/>
      </c>
      <c r="I18" s="52" t="n"/>
      <c r="J18" s="18" t="n"/>
    </row>
    <row r="19" ht="20" customHeight="1">
      <c r="B19" s="81" t="inlineStr">
        <is>
          <t>Datastores Status rouge</t>
        </is>
      </c>
      <c r="C19" s="52" t="n"/>
      <c r="D19" s="52" t="n"/>
      <c r="E19" s="52" t="n"/>
      <c r="F19" s="52" t="n"/>
      <c r="G19" s="18" t="n"/>
      <c r="H19" s="82">
        <f>COUNTIF(tDatastores[Status],"red")</f>
        <v/>
      </c>
      <c r="I19" s="52" t="n"/>
      <c r="J19" s="18" t="n"/>
    </row>
    <row r="20" ht="20" customHeight="1">
      <c r="B20" s="81" t="inlineStr">
        <is>
          <t>VMs Status rouge</t>
        </is>
      </c>
      <c r="C20" s="52" t="n"/>
      <c r="D20" s="52" t="n"/>
      <c r="E20" s="52" t="n"/>
      <c r="F20" s="52" t="n"/>
      <c r="G20" s="18" t="n"/>
      <c r="H20" s="82">
        <f>COUNTIF(tVMs[Status],"red")</f>
        <v/>
      </c>
      <c r="I20" s="52" t="n"/>
      <c r="J20" s="18" t="n"/>
    </row>
    <row r="21" ht="20" customHeight="1">
      <c r="B21" s="81" t="inlineStr">
        <is>
          <t>VMs Status jaune</t>
        </is>
      </c>
      <c r="C21" s="52" t="n"/>
      <c r="D21" s="52" t="n"/>
      <c r="E21" s="52" t="n"/>
      <c r="F21" s="52" t="n"/>
      <c r="G21" s="18" t="n"/>
      <c r="H21" s="83">
        <f>COUNTIF(tVMs[Status],"yellow")</f>
        <v/>
      </c>
      <c r="I21" s="52" t="n"/>
      <c r="J21" s="18" t="n"/>
    </row>
    <row r="22" ht="20" customHeight="1">
      <c r="B22" s="81" t="inlineStr">
        <is>
          <t>VMs poweredOff</t>
        </is>
      </c>
      <c r="C22" s="52" t="n"/>
      <c r="D22" s="52" t="n"/>
      <c r="E22" s="52" t="n"/>
      <c r="F22" s="52" t="n"/>
      <c r="G22" s="18" t="n"/>
      <c r="H22" s="83">
        <f>COUNTIF(tVMs[State],"poweredOff")</f>
        <v/>
      </c>
      <c r="I22" s="52" t="n"/>
      <c r="J22" s="18" t="n"/>
    </row>
    <row r="24" ht="20" customHeight="1">
      <c r="B24" s="16" t="inlineStr">
        <is>
          <t xml:space="preserve">  📊  VISUALISATIONS</t>
        </is>
      </c>
    </row>
    <row r="45">
      <c r="B45" s="84" t="inlineStr">
        <is>
          <t>État</t>
        </is>
      </c>
      <c r="C45" s="84" t="inlineStr">
        <is>
          <t>Nb VMs</t>
        </is>
      </c>
    </row>
    <row r="46">
      <c r="B46" t="inlineStr">
        <is>
          <t>poweredOn</t>
        </is>
      </c>
      <c r="C46">
        <f>COUNTIF(tVMs[State],"poweredOn")</f>
        <v/>
      </c>
    </row>
    <row r="47">
      <c r="B47" t="inlineStr">
        <is>
          <t>poweredOff</t>
        </is>
      </c>
      <c r="C47">
        <f>COUNTIF(tVMs[State],"poweredOff")</f>
        <v/>
      </c>
    </row>
  </sheetData>
  <mergeCells count="47">
    <mergeCell ref="B7:C7"/>
    <mergeCell ref="N7:O7"/>
    <mergeCell ref="J14:K14"/>
    <mergeCell ref="B17:G17"/>
    <mergeCell ref="B16:U16"/>
    <mergeCell ref="R13:S13"/>
    <mergeCell ref="H17:J17"/>
    <mergeCell ref="J13:K13"/>
    <mergeCell ref="F7:G7"/>
    <mergeCell ref="B12:C12"/>
    <mergeCell ref="J9:K9"/>
    <mergeCell ref="B19:G19"/>
    <mergeCell ref="F12:G12"/>
    <mergeCell ref="R7:S7"/>
    <mergeCell ref="N12:O12"/>
    <mergeCell ref="H22:J22"/>
    <mergeCell ref="H19:J19"/>
    <mergeCell ref="B11:U11"/>
    <mergeCell ref="B14:C14"/>
    <mergeCell ref="B2:U2"/>
    <mergeCell ref="B8:C8"/>
    <mergeCell ref="N8:O8"/>
    <mergeCell ref="N14:O14"/>
    <mergeCell ref="F8:G8"/>
    <mergeCell ref="B13:C13"/>
    <mergeCell ref="R12:S12"/>
    <mergeCell ref="B20:G20"/>
    <mergeCell ref="H18:J18"/>
    <mergeCell ref="J7:K7"/>
    <mergeCell ref="F13:G13"/>
    <mergeCell ref="B9:C9"/>
    <mergeCell ref="N13:O13"/>
    <mergeCell ref="F9:G9"/>
    <mergeCell ref="H20:J20"/>
    <mergeCell ref="N9:O9"/>
    <mergeCell ref="J12:K12"/>
    <mergeCell ref="B22:G22"/>
    <mergeCell ref="B6:U6"/>
    <mergeCell ref="B24:U24"/>
    <mergeCell ref="F14:G14"/>
    <mergeCell ref="B18:G18"/>
    <mergeCell ref="R14:S14"/>
    <mergeCell ref="R9:S9"/>
    <mergeCell ref="B21:G21"/>
    <mergeCell ref="J8:K8"/>
    <mergeCell ref="H21:J21"/>
    <mergeCell ref="R8:S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2026-03-23T09:58:57Z</dcterms:created>
  <dcterms:modified xmlns:dcterms="http://purl.org/dc/terms/" xmlns:xsi="http://www.w3.org/2001/XMLSchema-instance" xsi:type="dcterms:W3CDTF">2026-03-23T09:58:58Z</dcterms:modified>
</cp:coreProperties>
</file>