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🖥️ RAW_Hosts" sheetId="2" state="visible" r:id="rId2"/>
    <sheet xmlns:r="http://schemas.openxmlformats.org/officeDocument/2006/relationships" name="💾 RAW_Datastores" sheetId="3" state="visible" r:id="rId3"/>
    <sheet xmlns:r="http://schemas.openxmlformats.org/officeDocument/2006/relationships" name="⚡ RAW_VMs" sheetId="4" state="visible" r:id="rId4"/>
    <sheet xmlns:r="http://schemas.openxmlformats.org/officeDocument/2006/relationships" name="📊 Capacity_Hosts" sheetId="5" state="visible" r:id="rId5"/>
    <sheet xmlns:r="http://schemas.openxmlformats.org/officeDocument/2006/relationships" name="💽 Capacity_Storage" sheetId="6" state="visible" r:id="rId6"/>
    <sheet xmlns:r="http://schemas.openxmlformats.org/officeDocument/2006/relationships" name="🧪 Simulation" sheetId="7" state="visible" r:id="rId7"/>
    <sheet xmlns:r="http://schemas.openxmlformats.org/officeDocument/2006/relationships" name="🔮 Projections" sheetId="8" state="visible" r:id="rId8"/>
    <sheet xmlns:r="http://schemas.openxmlformats.org/officeDocument/2006/relationships" name="📈 Dashboard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806000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57F17"/>
      <sz val="10"/>
    </font>
    <font>
      <name val="Arial"/>
      <i val="1"/>
      <color rgb="001565C0"/>
      <sz val="9"/>
    </font>
    <font>
      <name val="Arial"/>
      <i val="1"/>
      <color rgb="0000838F"/>
      <sz val="9"/>
    </font>
    <font>
      <name val="Arial"/>
      <b val="1"/>
      <color rgb="00546E7A"/>
      <sz val="10"/>
    </font>
    <font>
      <name val="Arial"/>
      <i val="1"/>
      <color rgb="002E7D32"/>
      <sz val="9"/>
    </font>
    <font>
      <name val="Arial"/>
      <b val="1"/>
      <color rgb="001B2A4A"/>
      <sz val="20"/>
    </font>
    <font>
      <name val="Arial"/>
      <i val="1"/>
      <color rgb="00546E7A"/>
      <sz val="8"/>
    </font>
    <font>
      <name val="Arial"/>
      <color rgb="000000FF"/>
      <sz val="10"/>
    </font>
    <font>
      <name val="Arial"/>
      <b val="1"/>
      <color rgb="00806000"/>
      <sz val="11"/>
    </font>
    <font>
      <name val="Arial"/>
      <i val="1"/>
      <color rgb="00546E7A"/>
      <sz val="9"/>
    </font>
    <font>
      <name val="Arial"/>
      <b val="1"/>
      <color rgb="00806000"/>
      <sz val="12"/>
    </font>
    <font>
      <name val="Arial"/>
      <b val="1"/>
      <color rgb="000000FF"/>
      <sz val="11"/>
    </font>
    <font>
      <name val="Arial"/>
      <b val="1"/>
      <color rgb="00FFFFFF"/>
      <sz val="24"/>
    </font>
    <font>
      <name val="Arial"/>
      <i val="1"/>
      <color rgb="00546E7A"/>
      <sz val="10"/>
    </font>
    <font>
      <name val="Arial"/>
      <b val="1"/>
      <color rgb="001B2A4A"/>
      <sz val="15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00838F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B71C1C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1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FFD600"/>
      </left>
      <right style="thin">
        <color rgb="00FFD600"/>
      </right>
      <top style="thin">
        <color rgb="00FFD600"/>
      </top>
      <bottom style="thin">
        <color rgb="00FFD600"/>
      </bottom>
    </border>
    <border>
      <left style="thin">
        <color rgb="00546E7A"/>
      </left>
      <right style="thin">
        <color rgb="00546E7A"/>
      </right>
      <top style="thin">
        <color rgb="00546E7A"/>
      </top>
      <bottom style="thin">
        <color rgb="00546E7A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F57F17"/>
      </left>
      <right style="thin">
        <color rgb="00F57F17"/>
      </right>
      <top style="thin">
        <color rgb="00F57F17"/>
      </top>
      <bottom style="thin">
        <color rgb="00F57F17"/>
      </bottom>
    </border>
    <border>
      <left style="thin">
        <color rgb="00B71C1C"/>
      </left>
      <right style="thin">
        <color rgb="00B71C1C"/>
      </right>
      <top style="thin">
        <color rgb="00B71C1C"/>
      </top>
      <bottom style="thin">
        <color rgb="00B71C1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7" borderId="7" applyAlignment="1" pivotButton="0" quotePrefix="0" xfId="0">
      <alignment horizontal="left" vertical="center"/>
    </xf>
    <xf numFmtId="0" fontId="5" fillId="4" borderId="8" applyAlignment="1" pivotButton="0" quotePrefix="0" xfId="0">
      <alignment horizontal="left" vertical="center"/>
    </xf>
    <xf numFmtId="0" fontId="9" fillId="8" borderId="9" applyAlignment="1" pivotButton="0" quotePrefix="0" xfId="0">
      <alignment horizontal="left" vertical="center"/>
    </xf>
    <xf numFmtId="0" fontId="8" fillId="7" borderId="10" applyAlignment="1" pivotButton="0" quotePrefix="0" xfId="0">
      <alignment horizontal="left" vertical="center"/>
    </xf>
    <xf numFmtId="0" fontId="10" fillId="9" borderId="11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3" fontId="20" fillId="6" borderId="1" applyAlignment="1" pivotButton="0" quotePrefix="0" xfId="0">
      <alignment horizontal="center" vertical="center"/>
    </xf>
    <xf numFmtId="164" fontId="20" fillId="7" borderId="1" applyAlignment="1" pivotButton="0" quotePrefix="0" xfId="0">
      <alignment horizontal="center" vertical="center"/>
    </xf>
    <xf numFmtId="164" fontId="20" fillId="8" borderId="1" applyAlignment="1" pivotButton="0" quotePrefix="0" xfId="0">
      <alignment horizontal="center" vertical="center"/>
    </xf>
    <xf numFmtId="3" fontId="20" fillId="9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3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5" fontId="20" fillId="6" borderId="1" applyAlignment="1" pivotButton="0" quotePrefix="0" xfId="0">
      <alignment horizontal="center" vertical="center"/>
    </xf>
    <xf numFmtId="3" fontId="20" fillId="8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3" fontId="23" fillId="7" borderId="10" applyAlignment="1" pivotButton="0" quotePrefix="0" xfId="0">
      <alignment horizontal="center" vertical="center"/>
    </xf>
    <xf numFmtId="0" fontId="24" fillId="15" borderId="1" applyAlignment="1" pivotButton="0" quotePrefix="0" xfId="0">
      <alignment horizontal="left" vertical="center"/>
    </xf>
    <xf numFmtId="164" fontId="23" fillId="7" borderId="1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23" fillId="7" borderId="10" applyAlignment="1" pivotButton="0" quotePrefix="0" xfId="0">
      <alignment horizontal="left" vertical="center"/>
    </xf>
    <xf numFmtId="3" fontId="25" fillId="7" borderId="10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4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3" fontId="0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164" fontId="26" fillId="6" borderId="2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3" fillId="5" borderId="1" applyAlignment="1" pivotButton="0" quotePrefix="0" xfId="0">
      <alignment horizontal="left" vertical="center"/>
    </xf>
    <xf numFmtId="0" fontId="0" fillId="2" borderId="0" pivotButton="0" quotePrefix="0" xfId="0"/>
    <xf numFmtId="0" fontId="27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8" fillId="0" borderId="0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3" fontId="20" fillId="7" borderId="1" applyAlignment="1" pivotButton="0" quotePrefix="0" xfId="0">
      <alignment horizontal="center" vertical="center"/>
    </xf>
    <xf numFmtId="164" fontId="20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3" fontId="29" fillId="9" borderId="1" applyAlignment="1" pivotButton="0" quotePrefix="0" xfId="0">
      <alignment horizontal="center" vertical="center"/>
    </xf>
    <xf numFmtId="3" fontId="29" fillId="7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Capacity_Hosts'!$A$12:$A$21</f>
            </numRef>
          </cat>
          <val>
            <numRef>
              <f>'📊 Capacity_Hosts'!$E$12:$E$21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Capacity_Hosts'!$A$12:$A$21</f>
            </numRef>
          </cat>
          <val>
            <numRef>
              <f>'📊 Capacity_Hosts'!$F$12:$F$21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/ Libre / Utilisé par Cluster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Capacity_Storage'!$A$12:$A$19</f>
            </numRef>
          </cat>
          <val>
            <numRef>
              <f>'💽 Capacity_Storage'!$D$12:$D$19</f>
            </numRef>
          </val>
        </ser>
        <ser>
          <idx val="1"/>
          <order val="1"/>
          <tx>
            <strRef>
              <f>'💽 Capacity_Storage'!E11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Capacity_Storage'!$A$12:$A$19</f>
            </numRef>
          </cat>
          <val>
            <numRef>
              <f>'💽 Capacity_Storage'!$E$12:$E$19</f>
            </numRef>
          </val>
        </ser>
        <ser>
          <idx val="2"/>
          <order val="2"/>
          <tx>
            <strRef>
              <f>'💽 Capacity_Storage'!F11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Capacity_Storage'!$A$12:$A$19</f>
            </numRef>
          </cat>
          <val>
            <numRef>
              <f>'💽 Capacity_Storage'!$F$12:$F$19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Capacité par Cluster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Capacity_Storage'!$A$12:$A$19</f>
            </numRef>
          </cat>
          <val>
            <numRef>
              <f>'💽 Capacity_Storage'!$D$12:$D$19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Simulation'!$A$16:$A$25</f>
            </numRef>
          </cat>
          <val>
            <numRef>
              <f>'🧪 Simulation'!$F$16:$F$25</f>
            </numRef>
          </val>
        </ser>
        <ser>
          <idx val="1"/>
          <order val="1"/>
          <tx>
            <strRef>
              <f>'🧪 Simulation'!R15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Simulation'!$A$16:$A$25</f>
            </numRef>
          </cat>
          <val>
            <numRef>
              <f>'🧪 Simulation'!$R$16:$R$25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Simulation'!I15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Simulation'!$A$16:$A$25</f>
            </numRef>
          </cat>
          <val>
            <numRef>
              <f>'🧪 Simulation'!$I$16:$I$25</f>
            </numRef>
          </val>
        </ser>
        <ser>
          <idx val="1"/>
          <order val="1"/>
          <tx>
            <strRef>
              <f>'🧪 Simulation'!T15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Simulation'!$A$16:$A$25</f>
            </numRef>
          </cat>
          <val>
            <numRef>
              <f>'🧪 Simulation'!$T$16:$T$25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Projections'!$B$31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Projections'!$C$31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Projections'!$D$31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Projections'!$E$31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Projections'!$F$31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Projections'!$G$31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Projections'!$H$31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Projections'!$I$31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Projections'!$J$31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Projections'!$K$31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Projections'!$L$31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Projections'!$M$31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Capacity_Hosts'!$A$12:$A$21</f>
            </numRef>
          </cat>
          <val>
            <numRef>
              <f>'📊 Capacity_Hosts'!$E$12:$E$21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par Cluster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Capacity_Storage'!$A$12:$A$19</f>
            </numRef>
          </cat>
          <val>
            <numRef>
              <f>'💽 Capacity_Storage'!$G$12:$G$19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VMs par État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Dashboard'!$B$46:$B$47</f>
            </numRef>
          </cat>
          <val>
            <numRef>
              <f>'📈 Dashboard'!$C$46:$C$47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VMs 12 mois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22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35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35</row>
      <rowOff>0</rowOff>
    </from>
    <ext cx="75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35</row>
      <rowOff>0</rowOff>
    </from>
    <ext cx="75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5835</row>
      <rowOff>0</rowOff>
    </from>
    <ext cx="75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5835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48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osts" displayName="tHosts" ref="A3:L13" headerRowCount="1">
  <autoFilter ref="A3:L13"/>
  <tableColumns count="12">
    <tableColumn id="1" name="Name"/>
    <tableColumn id="2" name="State"/>
    <tableColumn id="3" name="Status"/>
    <tableColumn id="4" name="ClusterDatacenter"/>
    <tableColumn id="5" name="Cluster"/>
    <tableColumn id="6" name="Consumed CPU %"/>
    <tableColumn id="7" name="Memory Size (MB)"/>
    <tableColumn id="8" name="CPUs"/>
    <tableColumn id="9" name="CPU Free %"/>
    <tableColumn id="10" name="CPU free cores"/>
    <tableColumn id="11" name="NICs"/>
    <tableColumn id="12" name="R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astores" displayName="tDatastores" ref="A3:I13" headerRowCount="1">
  <autoFilter ref="A3:I13"/>
  <tableColumns count="9">
    <tableColumn id="1" name="Name"/>
    <tableColumn id="2" name="Cluster"/>
    <tableColumn id="3" name="Status"/>
    <tableColumn id="4" name="Type"/>
    <tableColumn id="5" name="Datastore cluster"/>
    <tableColumn id="6" name="Capacity TB"/>
    <tableColumn id="7" name="Capacity"/>
    <tableColumn id="8" name="Free"/>
    <tableColumn id="9" name="FreeSiz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VMs" displayName="tVMs" ref="A3:L20" headerRowCount="1">
  <autoFilter ref="A3:L20"/>
  <tableColumns count="12">
    <tableColumn id="1" name="Name"/>
    <tableColumn id="2" name="State"/>
    <tableColumn id="3" name="Status"/>
    <tableColumn id="4" name="Host"/>
    <tableColumn id="5" name="ClusterDatacenter"/>
    <tableColumn id="6" name="Cluster"/>
    <tableColumn id="7" name="Provisioned Space"/>
    <tableColumn id="8" name="Used Space"/>
    <tableColumn id="9" name="Host CPU"/>
    <tableColumn id="10" name="Host Mem"/>
    <tableColumn id="11" name="Active Memory"/>
    <tableColumn id="12" name="CP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50" customWidth="1" min="4" max="4"/>
    <col width="18" customWidth="1" min="5" max="5"/>
  </cols>
  <sheetData>
    <row r="1" ht="50" customHeight="1">
      <c r="A1" s="1" t="inlineStr">
        <is>
          <t>📋  VMware vCenter 8 – Capacity Planning Template</t>
        </is>
      </c>
    </row>
    <row r="2" ht="16" customHeight="1">
      <c r="A2" s="2" t="inlineStr">
        <is>
          <t>v4.0  |  23/03/2026  |  Tableaux dynamiques  |  2000+ VMs supportées</t>
        </is>
      </c>
    </row>
    <row r="4" ht="20" customHeight="1">
      <c r="B4" s="3" t="inlineStr">
        <is>
          <t xml:space="preserve">  🗂️  STRUCTURE DU CLASSEUR</t>
        </is>
      </c>
    </row>
    <row r="5" ht="20" customHeight="1">
      <c r="A5" s="4" t="inlineStr">
        <is>
          <t>Onglet</t>
        </is>
      </c>
      <c r="B5" s="4" t="inlineStr">
        <is>
          <t>Description</t>
        </is>
      </c>
      <c r="C5" s="4" t="inlineStr">
        <is>
          <t>Comment l'utiliser</t>
        </is>
      </c>
    </row>
    <row r="6" ht="17" customHeight="1">
      <c r="B6" s="5" t="inlineStr">
        <is>
          <t>🖥️ RAW_Hosts</t>
        </is>
      </c>
      <c r="C6" s="6" t="inlineStr">
        <is>
          <t>Données brutes hosts ESXi</t>
        </is>
      </c>
      <c r="D6" s="6" t="inlineStr">
        <is>
          <t>Coller à partir de A4 — tableau illimité</t>
        </is>
      </c>
    </row>
    <row r="7" ht="17" customHeight="1">
      <c r="B7" s="7" t="inlineStr">
        <is>
          <t>💾 RAW_Datastores</t>
        </is>
      </c>
      <c r="C7" s="8" t="inlineStr">
        <is>
          <t>Données brutes datastores</t>
        </is>
      </c>
      <c r="D7" s="8" t="inlineStr">
        <is>
          <t>Coller à partir de A4 — tableau illimité</t>
        </is>
      </c>
    </row>
    <row r="8" ht="17" customHeight="1">
      <c r="B8" s="5" t="inlineStr">
        <is>
          <t>⚡ RAW_VMs</t>
        </is>
      </c>
      <c r="C8" s="6" t="inlineStr">
        <is>
          <t>Données brutes VMs</t>
        </is>
      </c>
      <c r="D8" s="6" t="inlineStr">
        <is>
          <t>Coller à partir de A4 — prévu pour 2000+ VMs</t>
        </is>
      </c>
    </row>
    <row r="9" ht="17" customHeight="1">
      <c r="B9" s="7" t="inlineStr">
        <is>
          <t>📊 Capacity_Hosts</t>
        </is>
      </c>
      <c r="C9" s="8" t="inlineStr">
        <is>
          <t>Analyse CPU/RAM agrégée par cluster</t>
        </is>
      </c>
      <c r="D9" s="8" t="inlineStr">
        <is>
          <t>Entrer les noms de clusters (cellules bleues)</t>
        </is>
      </c>
    </row>
    <row r="10" ht="17" customHeight="1">
      <c r="B10" s="5" t="inlineStr">
        <is>
          <t>💽 Capacity_Storage</t>
        </is>
      </c>
      <c r="C10" s="6" t="inlineStr">
        <is>
          <t>Analyse stockage agrégée par cluster</t>
        </is>
      </c>
      <c r="D10" s="6" t="inlineStr">
        <is>
          <t>Entrer les noms de clusters (cellules bleues)</t>
        </is>
      </c>
    </row>
    <row r="11" ht="17" customHeight="1">
      <c r="B11" s="7" t="inlineStr">
        <is>
          <t>🧪 Simulation</t>
        </is>
      </c>
      <c r="C11" s="8" t="inlineStr">
        <is>
          <t>Simulation d'ajout de VMs par DC</t>
        </is>
      </c>
      <c r="D11" s="8" t="inlineStr">
        <is>
          <t>Entrer DCs + nb VMs à ajouter (cellules jaunes)</t>
        </is>
      </c>
    </row>
    <row r="12" ht="17" customHeight="1">
      <c r="B12" s="5" t="inlineStr">
        <is>
          <t>🔮 Projections</t>
        </is>
      </c>
      <c r="C12" s="6" t="inlineStr">
        <is>
          <t>Projections 12 mois</t>
        </is>
      </c>
      <c r="D12" s="6" t="inlineStr">
        <is>
          <t>Paramètres de croissance (cellules bleues)</t>
        </is>
      </c>
    </row>
    <row r="13" ht="17" customHeight="1">
      <c r="B13" s="7" t="inlineStr">
        <is>
          <t>📈 Dashboard</t>
        </is>
      </c>
      <c r="C13" s="8" t="inlineStr">
        <is>
          <t>KPIs + graphiques consolidés</t>
        </is>
      </c>
      <c r="D13" s="8" t="inlineStr">
        <is>
          <t>Vue globale automatique</t>
        </is>
      </c>
    </row>
    <row r="15" ht="20" customHeight="1">
      <c r="B15" s="3" t="inlineStr">
        <is>
          <t xml:space="preserve">  🎨  CODE COULEUR DES CELLULES</t>
        </is>
      </c>
    </row>
    <row r="16" ht="18" customHeight="1">
      <c r="B16" s="9" t="inlineStr">
        <is>
          <t xml:space="preserve">  Exemple</t>
        </is>
      </c>
      <c r="C16" s="6" t="inlineStr">
        <is>
          <t>Cellule saisie utilisateur — paramètres/projections</t>
        </is>
      </c>
      <c r="D16" s="10" t="n"/>
      <c r="E16" s="11" t="n"/>
    </row>
    <row r="17" ht="18" customHeight="1">
      <c r="B17" s="12" t="inlineStr">
        <is>
          <t xml:space="preserve">  Exemple</t>
        </is>
      </c>
      <c r="C17" s="6" t="inlineStr">
        <is>
          <t>Cellule saisie utilisateur — simulation/NB VMs à ajouter</t>
        </is>
      </c>
      <c r="D17" s="10" t="n"/>
      <c r="E17" s="11" t="n"/>
    </row>
    <row r="18" ht="18" customHeight="1">
      <c r="B18" s="13" t="inlineStr">
        <is>
          <t xml:space="preserve">  Exemple</t>
        </is>
      </c>
      <c r="C18" s="6" t="inlineStr">
        <is>
          <t>Cellule calculée automatiquement — ne pas modifier</t>
        </is>
      </c>
      <c r="D18" s="10" t="n"/>
      <c r="E18" s="11" t="n"/>
    </row>
    <row r="19" ht="18" customHeight="1">
      <c r="B19" s="14" t="inlineStr">
        <is>
          <t xml:space="preserve">  Exemple</t>
        </is>
      </c>
      <c r="C19" s="6" t="inlineStr">
        <is>
          <t>Résultat OK — en dessous du seuil d'alerte</t>
        </is>
      </c>
      <c r="D19" s="10" t="n"/>
      <c r="E19" s="11" t="n"/>
    </row>
    <row r="20" ht="18" customHeight="1">
      <c r="B20" s="15" t="inlineStr">
        <is>
          <t xml:space="preserve">  Exemple</t>
        </is>
      </c>
      <c r="C20" s="6" t="inlineStr">
        <is>
          <t>Résultat WARNING — approche du seuil</t>
        </is>
      </c>
      <c r="D20" s="10" t="n"/>
      <c r="E20" s="11" t="n"/>
    </row>
    <row r="21" ht="18" customHeight="1">
      <c r="B21" s="16" t="inlineStr">
        <is>
          <t xml:space="preserve">  Exemple</t>
        </is>
      </c>
      <c r="C21" s="6" t="inlineStr">
        <is>
          <t>Résultat CRITIQUE — seuil dépassé</t>
        </is>
      </c>
      <c r="D21" s="10" t="n"/>
      <c r="E21" s="11" t="n"/>
    </row>
    <row r="23" ht="20" customHeight="1">
      <c r="B23" s="3" t="inlineStr">
        <is>
          <t xml:space="preserve">  📥  COLONNES ATTENDUES (ligne 3 = en-têtes, NE PAS MODIFIER)</t>
        </is>
      </c>
    </row>
    <row r="24" ht="20" customHeight="1">
      <c r="B24" s="17" t="inlineStr">
        <is>
          <t>🖥️ RAW_Hosts</t>
        </is>
      </c>
    </row>
    <row r="25" ht="18" customHeight="1">
      <c r="B25" s="18" t="inlineStr">
        <is>
          <t>Col.</t>
        </is>
      </c>
      <c r="C25" s="18" t="inlineStr">
        <is>
          <t>Nom de colonne + format attendu</t>
        </is>
      </c>
      <c r="D25" s="10" t="n"/>
      <c r="E25" s="11" t="n"/>
    </row>
    <row r="26" ht="16" customHeight="1">
      <c r="B26" s="19" t="inlineStr">
        <is>
          <t>A</t>
        </is>
      </c>
      <c r="C26" s="20" t="inlineStr">
        <is>
          <t>Name</t>
        </is>
      </c>
      <c r="D26" s="10" t="n"/>
      <c r="E26" s="11" t="n"/>
    </row>
    <row r="27" ht="16" customHeight="1">
      <c r="B27" s="21" t="inlineStr">
        <is>
          <t>B</t>
        </is>
      </c>
      <c r="C27" s="22" t="inlineStr">
        <is>
          <t>State  [connected|disconnected|maintenance]</t>
        </is>
      </c>
      <c r="D27" s="10" t="n"/>
      <c r="E27" s="11" t="n"/>
    </row>
    <row r="28" ht="16" customHeight="1">
      <c r="B28" s="19" t="inlineStr">
        <is>
          <t>C</t>
        </is>
      </c>
      <c r="C28" s="20" t="inlineStr">
        <is>
          <t>Status  [green|yellow|red]</t>
        </is>
      </c>
      <c r="D28" s="10" t="n"/>
      <c r="E28" s="11" t="n"/>
    </row>
    <row r="29" ht="16" customHeight="1">
      <c r="B29" s="21" t="inlineStr">
        <is>
          <t>D</t>
        </is>
      </c>
      <c r="C29" s="22" t="inlineStr">
        <is>
          <t>ClusterDatacenter</t>
        </is>
      </c>
      <c r="D29" s="10" t="n"/>
      <c r="E29" s="11" t="n"/>
    </row>
    <row r="30" ht="16" customHeight="1">
      <c r="B30" s="19" t="inlineStr">
        <is>
          <t>E</t>
        </is>
      </c>
      <c r="C30" s="20" t="inlineStr">
        <is>
          <t>Cluster</t>
        </is>
      </c>
      <c r="D30" s="10" t="n"/>
      <c r="E30" s="11" t="n"/>
    </row>
    <row r="31" ht="16" customHeight="1">
      <c r="B31" s="21" t="inlineStr">
        <is>
          <t>F</t>
        </is>
      </c>
      <c r="C31" s="22" t="inlineStr">
        <is>
          <t>Consumed CPU %  ← NOMBRE décimal (0.45 et non "45%")</t>
        </is>
      </c>
      <c r="D31" s="10" t="n"/>
      <c r="E31" s="11" t="n"/>
    </row>
    <row r="32" ht="16" customHeight="1">
      <c r="B32" s="19" t="inlineStr">
        <is>
          <t>G</t>
        </is>
      </c>
      <c r="C32" s="20" t="inlineStr">
        <is>
          <t>Memory Size (MB)</t>
        </is>
      </c>
      <c r="D32" s="10" t="n"/>
      <c r="E32" s="11" t="n"/>
    </row>
    <row r="33" ht="16" customHeight="1">
      <c r="B33" s="21" t="inlineStr">
        <is>
          <t>H</t>
        </is>
      </c>
      <c r="C33" s="22" t="inlineStr">
        <is>
          <t>CPUs</t>
        </is>
      </c>
      <c r="D33" s="10" t="n"/>
      <c r="E33" s="11" t="n"/>
    </row>
    <row r="34" ht="16" customHeight="1">
      <c r="B34" s="19" t="inlineStr">
        <is>
          <t>I</t>
        </is>
      </c>
      <c r="C34" s="20" t="inlineStr">
        <is>
          <t>CPU Free %  ← NOMBRE décimal</t>
        </is>
      </c>
      <c r="D34" s="10" t="n"/>
      <c r="E34" s="11" t="n"/>
    </row>
    <row r="35" ht="16" customHeight="1">
      <c r="B35" s="21" t="inlineStr">
        <is>
          <t>J</t>
        </is>
      </c>
      <c r="C35" s="22" t="inlineStr">
        <is>
          <t>CPU free cores</t>
        </is>
      </c>
      <c r="D35" s="10" t="n"/>
      <c r="E35" s="11" t="n"/>
    </row>
    <row r="36" ht="16" customHeight="1">
      <c r="B36" s="19" t="inlineStr">
        <is>
          <t>K</t>
        </is>
      </c>
      <c r="C36" s="20" t="inlineStr">
        <is>
          <t>NICs</t>
        </is>
      </c>
      <c r="D36" s="10" t="n"/>
      <c r="E36" s="11" t="n"/>
    </row>
    <row r="37" ht="16" customHeight="1">
      <c r="B37" s="21" t="inlineStr">
        <is>
          <t>L</t>
        </is>
      </c>
      <c r="C37" s="22" t="inlineStr">
        <is>
          <t>RAM  ← MB consommés (nombre)</t>
        </is>
      </c>
      <c r="D37" s="10" t="n"/>
      <c r="E37" s="11" t="n"/>
    </row>
    <row r="39" ht="20" customHeight="1">
      <c r="B39" s="17" t="inlineStr">
        <is>
          <t>💾 RAW_Datastores</t>
        </is>
      </c>
    </row>
    <row r="40" ht="18" customHeight="1">
      <c r="B40" s="18" t="inlineStr">
        <is>
          <t>Col.</t>
        </is>
      </c>
      <c r="C40" s="18" t="inlineStr">
        <is>
          <t>Nom de colonne + format attendu</t>
        </is>
      </c>
      <c r="D40" s="10" t="n"/>
      <c r="E40" s="11" t="n"/>
    </row>
    <row r="41" ht="16" customHeight="1">
      <c r="B41" s="19" t="inlineStr">
        <is>
          <t>A</t>
        </is>
      </c>
      <c r="C41" s="20" t="inlineStr">
        <is>
          <t>Name</t>
        </is>
      </c>
      <c r="D41" s="10" t="n"/>
      <c r="E41" s="11" t="n"/>
    </row>
    <row r="42" ht="16" customHeight="1">
      <c r="B42" s="21" t="inlineStr">
        <is>
          <t>B</t>
        </is>
      </c>
      <c r="C42" s="22" t="inlineStr">
        <is>
          <t>Cluster</t>
        </is>
      </c>
      <c r="D42" s="10" t="n"/>
      <c r="E42" s="11" t="n"/>
    </row>
    <row r="43" ht="16" customHeight="1">
      <c r="B43" s="19" t="inlineStr">
        <is>
          <t>C</t>
        </is>
      </c>
      <c r="C43" s="20" t="inlineStr">
        <is>
          <t>Status  [green|yellow|red]</t>
        </is>
      </c>
      <c r="D43" s="10" t="n"/>
      <c r="E43" s="11" t="n"/>
    </row>
    <row r="44" ht="16" customHeight="1">
      <c r="B44" s="21" t="inlineStr">
        <is>
          <t>D</t>
        </is>
      </c>
      <c r="C44" s="22" t="inlineStr">
        <is>
          <t>Type  [VMFS|NFS|vSAN|vVol]</t>
        </is>
      </c>
      <c r="D44" s="10" t="n"/>
      <c r="E44" s="11" t="n"/>
    </row>
    <row r="45" ht="16" customHeight="1">
      <c r="B45" s="19" t="inlineStr">
        <is>
          <t>E</t>
        </is>
      </c>
      <c r="C45" s="20" t="inlineStr">
        <is>
          <t>Datastore cluster</t>
        </is>
      </c>
      <c r="D45" s="10" t="n"/>
      <c r="E45" s="11" t="n"/>
    </row>
    <row r="46" ht="16" customHeight="1">
      <c r="B46" s="21" t="inlineStr">
        <is>
          <t>F</t>
        </is>
      </c>
      <c r="C46" s="22" t="inlineStr">
        <is>
          <t>Capacity TB  ← TB (nombre)</t>
        </is>
      </c>
      <c r="D46" s="10" t="n"/>
      <c r="E46" s="11" t="n"/>
    </row>
    <row r="47" ht="16" customHeight="1">
      <c r="B47" s="19" t="inlineStr">
        <is>
          <t>G</t>
        </is>
      </c>
      <c r="C47" s="20" t="inlineStr">
        <is>
          <t>Capacity  ← GB (nombre)</t>
        </is>
      </c>
      <c r="D47" s="10" t="n"/>
      <c r="E47" s="11" t="n"/>
    </row>
    <row r="48" ht="16" customHeight="1">
      <c r="B48" s="21" t="inlineStr">
        <is>
          <t>H</t>
        </is>
      </c>
      <c r="C48" s="22" t="inlineStr">
        <is>
          <t>Free  ← GB libres (nombre)</t>
        </is>
      </c>
      <c r="D48" s="10" t="n"/>
      <c r="E48" s="11" t="n"/>
    </row>
    <row r="49" ht="16" customHeight="1">
      <c r="B49" s="19" t="inlineStr">
        <is>
          <t>I</t>
        </is>
      </c>
      <c r="C49" s="20" t="inlineStr">
        <is>
          <t>FreeSize  ← GB ou TB</t>
        </is>
      </c>
      <c r="D49" s="10" t="n"/>
      <c r="E49" s="11" t="n"/>
    </row>
    <row r="51" ht="20" customHeight="1">
      <c r="B51" s="17" t="inlineStr">
        <is>
          <t>⚡ RAW_VMs</t>
        </is>
      </c>
    </row>
    <row r="52" ht="18" customHeight="1">
      <c r="B52" s="18" t="inlineStr">
        <is>
          <t>Col.</t>
        </is>
      </c>
      <c r="C52" s="18" t="inlineStr">
        <is>
          <t>Nom de colonne + format attendu</t>
        </is>
      </c>
      <c r="D52" s="10" t="n"/>
      <c r="E52" s="11" t="n"/>
    </row>
    <row r="53" ht="16" customHeight="1">
      <c r="B53" s="19" t="inlineStr">
        <is>
          <t>A</t>
        </is>
      </c>
      <c r="C53" s="20" t="inlineStr">
        <is>
          <t>Name</t>
        </is>
      </c>
      <c r="D53" s="10" t="n"/>
      <c r="E53" s="11" t="n"/>
    </row>
    <row r="54" ht="16" customHeight="1">
      <c r="B54" s="21" t="inlineStr">
        <is>
          <t>B</t>
        </is>
      </c>
      <c r="C54" s="22" t="inlineStr">
        <is>
          <t>State  [poweredOn|poweredOff|suspended]</t>
        </is>
      </c>
      <c r="D54" s="10" t="n"/>
      <c r="E54" s="11" t="n"/>
    </row>
    <row r="55" ht="16" customHeight="1">
      <c r="B55" s="19" t="inlineStr">
        <is>
          <t>C</t>
        </is>
      </c>
      <c r="C55" s="20" t="inlineStr">
        <is>
          <t>Status  [green|yellow|red]</t>
        </is>
      </c>
      <c r="D55" s="10" t="n"/>
      <c r="E55" s="11" t="n"/>
    </row>
    <row r="56" ht="16" customHeight="1">
      <c r="B56" s="21" t="inlineStr">
        <is>
          <t>D</t>
        </is>
      </c>
      <c r="C56" s="22" t="inlineStr">
        <is>
          <t>Host</t>
        </is>
      </c>
      <c r="D56" s="10" t="n"/>
      <c r="E56" s="11" t="n"/>
    </row>
    <row r="57" ht="16" customHeight="1">
      <c r="B57" s="19" t="inlineStr">
        <is>
          <t>E</t>
        </is>
      </c>
      <c r="C57" s="20" t="inlineStr">
        <is>
          <t>ClusterDatacenter</t>
        </is>
      </c>
      <c r="D57" s="10" t="n"/>
      <c r="E57" s="11" t="n"/>
    </row>
    <row r="58" ht="16" customHeight="1">
      <c r="B58" s="21" t="inlineStr">
        <is>
          <t>F</t>
        </is>
      </c>
      <c r="C58" s="22" t="inlineStr">
        <is>
          <t>Cluster</t>
        </is>
      </c>
      <c r="D58" s="10" t="n"/>
      <c r="E58" s="11" t="n"/>
    </row>
    <row r="59" ht="16" customHeight="1">
      <c r="B59" s="19" t="inlineStr">
        <is>
          <t>G</t>
        </is>
      </c>
      <c r="C59" s="20" t="inlineStr">
        <is>
          <t>Provisioned Space  ← GB</t>
        </is>
      </c>
      <c r="D59" s="10" t="n"/>
      <c r="E59" s="11" t="n"/>
    </row>
    <row r="60" ht="16" customHeight="1">
      <c r="B60" s="21" t="inlineStr">
        <is>
          <t>H</t>
        </is>
      </c>
      <c r="C60" s="22" t="inlineStr">
        <is>
          <t>Used Space  ← GB</t>
        </is>
      </c>
      <c r="D60" s="10" t="n"/>
      <c r="E60" s="11" t="n"/>
    </row>
    <row r="61" ht="16" customHeight="1">
      <c r="B61" s="19" t="inlineStr">
        <is>
          <t>I</t>
        </is>
      </c>
      <c r="C61" s="20" t="inlineStr">
        <is>
          <t>Host CPU  ← MHz ou % (nombre)</t>
        </is>
      </c>
      <c r="D61" s="10" t="n"/>
      <c r="E61" s="11" t="n"/>
    </row>
    <row r="62" ht="16" customHeight="1">
      <c r="B62" s="21" t="inlineStr">
        <is>
          <t>J</t>
        </is>
      </c>
      <c r="C62" s="22" t="inlineStr">
        <is>
          <t>Host Mem  ← MB</t>
        </is>
      </c>
      <c r="D62" s="10" t="n"/>
      <c r="E62" s="11" t="n"/>
    </row>
    <row r="63" ht="16" customHeight="1">
      <c r="B63" s="19" t="inlineStr">
        <is>
          <t>K</t>
        </is>
      </c>
      <c r="C63" s="20" t="inlineStr">
        <is>
          <t>Active Memory  ← MB</t>
        </is>
      </c>
      <c r="D63" s="10" t="n"/>
      <c r="E63" s="11" t="n"/>
    </row>
    <row r="64" ht="16" customHeight="1">
      <c r="B64" s="21" t="inlineStr">
        <is>
          <t>L</t>
        </is>
      </c>
      <c r="C64" s="22" t="inlineStr">
        <is>
          <t>CPUs</t>
        </is>
      </c>
      <c r="D64" s="10" t="n"/>
      <c r="E64" s="11" t="n"/>
    </row>
  </sheetData>
  <mergeCells count="50">
    <mergeCell ref="C16:E16"/>
    <mergeCell ref="C54:E54"/>
    <mergeCell ref="C44:E44"/>
    <mergeCell ref="C41:E41"/>
    <mergeCell ref="C55:E55"/>
    <mergeCell ref="C31:E31"/>
    <mergeCell ref="C40:E40"/>
    <mergeCell ref="B15:E15"/>
    <mergeCell ref="A1:E1"/>
    <mergeCell ref="C56:E56"/>
    <mergeCell ref="B24:E24"/>
    <mergeCell ref="B51:E51"/>
    <mergeCell ref="C21:E21"/>
    <mergeCell ref="C59:E59"/>
    <mergeCell ref="C43:E43"/>
    <mergeCell ref="C46:E46"/>
    <mergeCell ref="C60:E60"/>
    <mergeCell ref="C36:E36"/>
    <mergeCell ref="C27:E27"/>
    <mergeCell ref="B4:E4"/>
    <mergeCell ref="C52:E52"/>
    <mergeCell ref="C61:E61"/>
    <mergeCell ref="C48:E48"/>
    <mergeCell ref="C17:E17"/>
    <mergeCell ref="C32:E32"/>
    <mergeCell ref="C28:E28"/>
    <mergeCell ref="C19:E19"/>
    <mergeCell ref="A2:E2"/>
    <mergeCell ref="C37:E37"/>
    <mergeCell ref="C53:E53"/>
    <mergeCell ref="C57:E57"/>
    <mergeCell ref="C18:E18"/>
    <mergeCell ref="C49:E49"/>
    <mergeCell ref="B39:E39"/>
    <mergeCell ref="C30:E30"/>
    <mergeCell ref="C34:E34"/>
    <mergeCell ref="C62:E62"/>
    <mergeCell ref="C42:E42"/>
    <mergeCell ref="C58:E58"/>
    <mergeCell ref="B23:E23"/>
    <mergeCell ref="C33:E33"/>
    <mergeCell ref="C63:E63"/>
    <mergeCell ref="C45:E45"/>
    <mergeCell ref="C26:E26"/>
    <mergeCell ref="C64:E64"/>
    <mergeCell ref="C29:E29"/>
    <mergeCell ref="C20:E20"/>
    <mergeCell ref="C35:E35"/>
    <mergeCell ref="C25:E25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0" customWidth="1" min="5" max="5"/>
    <col width="16" customWidth="1" min="6" max="6"/>
    <col width="17" customWidth="1" min="7" max="7"/>
    <col width="8" customWidth="1" min="8" max="8"/>
    <col width="13" customWidth="1" min="9" max="9"/>
    <col width="14" customWidth="1" min="10" max="10"/>
    <col width="7" customWidth="1" min="11" max="11"/>
    <col width="16" customWidth="1" min="12" max="12"/>
  </cols>
  <sheetData>
    <row r="1" ht="50" customHeight="1">
      <c r="A1" s="1" t="inlineStr">
        <is>
          <t>🖥️  HOSTS ESXi – Données brutes vCenter 8</t>
        </is>
      </c>
    </row>
    <row r="2" ht="16" customHeight="1">
      <c r="A2" s="2" t="inlineStr">
        <is>
          <t>⚠️  Coller à partir de A4  |  Ligne 3 = en-têtes (ne pas modifier)  |  Tableau sans limite de lignes</t>
        </is>
      </c>
    </row>
    <row r="3" ht="26" customHeight="1">
      <c r="A3" s="4" t="inlineStr">
        <is>
          <t>Name</t>
        </is>
      </c>
      <c r="B3" s="4" t="inlineStr">
        <is>
          <t>State</t>
        </is>
      </c>
      <c r="C3" s="4" t="inlineStr">
        <is>
          <t>Status</t>
        </is>
      </c>
      <c r="D3" s="4" t="inlineStr">
        <is>
          <t>ClusterDatacenter</t>
        </is>
      </c>
      <c r="E3" s="4" t="inlineStr">
        <is>
          <t>Cluster</t>
        </is>
      </c>
      <c r="F3" s="4" t="inlineStr">
        <is>
          <t>Consumed CPU %</t>
        </is>
      </c>
      <c r="G3" s="4" t="inlineStr">
        <is>
          <t>Memory Size (MB)</t>
        </is>
      </c>
      <c r="H3" s="4" t="inlineStr">
        <is>
          <t>CPUs</t>
        </is>
      </c>
      <c r="I3" s="4" t="inlineStr">
        <is>
          <t>CPU Free %</t>
        </is>
      </c>
      <c r="J3" s="4" t="inlineStr">
        <is>
          <t>CPU free cores</t>
        </is>
      </c>
      <c r="K3" s="4" t="inlineStr">
        <is>
          <t>NICs</t>
        </is>
      </c>
      <c r="L3" s="4" t="inlineStr">
        <is>
          <t>RAM</t>
        </is>
      </c>
    </row>
    <row r="4" ht="18" customHeight="1">
      <c r="A4" s="23" t="inlineStr">
        <is>
          <t>esxi-prod-01.lab</t>
        </is>
      </c>
      <c r="B4" s="24" t="inlineStr">
        <is>
          <t>connected</t>
        </is>
      </c>
      <c r="C4" s="24" t="inlineStr">
        <is>
          <t>green</t>
        </is>
      </c>
      <c r="D4" s="23" t="inlineStr">
        <is>
          <t>DC-Paris</t>
        </is>
      </c>
      <c r="E4" s="23" t="inlineStr">
        <is>
          <t>PROD-Cluster-01</t>
        </is>
      </c>
      <c r="F4" s="25" t="n">
        <v>0.23</v>
      </c>
      <c r="G4" s="26" t="n">
        <v>393216</v>
      </c>
      <c r="H4" s="23" t="n">
        <v>40</v>
      </c>
      <c r="I4" s="25" t="n">
        <v>0.77</v>
      </c>
      <c r="J4" s="26" t="n">
        <v>31</v>
      </c>
      <c r="K4" s="23" t="n">
        <v>4</v>
      </c>
      <c r="L4" s="26" t="n">
        <v>91136</v>
      </c>
    </row>
    <row r="5" ht="18" customHeight="1">
      <c r="A5" s="23" t="inlineStr">
        <is>
          <t>esxi-prod-02.lab</t>
        </is>
      </c>
      <c r="B5" s="24" t="inlineStr">
        <is>
          <t>connected</t>
        </is>
      </c>
      <c r="C5" s="24" t="inlineStr">
        <is>
          <t>green</t>
        </is>
      </c>
      <c r="D5" s="23" t="inlineStr">
        <is>
          <t>DC-Paris</t>
        </is>
      </c>
      <c r="E5" s="23" t="inlineStr">
        <is>
          <t>PROD-Cluster-01</t>
        </is>
      </c>
      <c r="F5" s="25" t="n">
        <v>0.55</v>
      </c>
      <c r="G5" s="26" t="n">
        <v>393216</v>
      </c>
      <c r="H5" s="23" t="n">
        <v>40</v>
      </c>
      <c r="I5" s="25" t="n">
        <v>0.45</v>
      </c>
      <c r="J5" s="26" t="n">
        <v>18</v>
      </c>
      <c r="K5" s="23" t="n">
        <v>4</v>
      </c>
      <c r="L5" s="26" t="n">
        <v>245760</v>
      </c>
    </row>
    <row r="6" ht="18" customHeight="1">
      <c r="A6" s="23" t="inlineStr">
        <is>
          <t>esxi-prod-03.lab</t>
        </is>
      </c>
      <c r="B6" s="24" t="inlineStr">
        <is>
          <t>connected</t>
        </is>
      </c>
      <c r="C6" s="24" t="inlineStr">
        <is>
          <t>green</t>
        </is>
      </c>
      <c r="D6" s="23" t="inlineStr">
        <is>
          <t>DC-Paris</t>
        </is>
      </c>
      <c r="E6" s="23" t="inlineStr">
        <is>
          <t>PROD-Cluster-01</t>
        </is>
      </c>
      <c r="F6" s="25" t="n">
        <v>0.39</v>
      </c>
      <c r="G6" s="26" t="n">
        <v>393216</v>
      </c>
      <c r="H6" s="23" t="n">
        <v>40</v>
      </c>
      <c r="I6" s="25" t="n">
        <v>0.61</v>
      </c>
      <c r="J6" s="26" t="n">
        <v>24</v>
      </c>
      <c r="K6" s="23" t="n">
        <v>4</v>
      </c>
      <c r="L6" s="26" t="n">
        <v>180000</v>
      </c>
    </row>
    <row r="7" ht="18" customHeight="1">
      <c r="A7" s="23" t="inlineStr">
        <is>
          <t>esxi-prod-04.lab</t>
        </is>
      </c>
      <c r="B7" s="24" t="inlineStr">
        <is>
          <t>connected</t>
        </is>
      </c>
      <c r="C7" s="24" t="inlineStr">
        <is>
          <t>green</t>
        </is>
      </c>
      <c r="D7" s="23" t="inlineStr">
        <is>
          <t>DC-Paris</t>
        </is>
      </c>
      <c r="E7" s="23" t="inlineStr">
        <is>
          <t>PROD-Cluster-02</t>
        </is>
      </c>
      <c r="F7" s="25" t="n">
        <v>0.68</v>
      </c>
      <c r="G7" s="26" t="n">
        <v>262144</v>
      </c>
      <c r="H7" s="23" t="n">
        <v>32</v>
      </c>
      <c r="I7" s="25" t="n">
        <v>0.32</v>
      </c>
      <c r="J7" s="26" t="n">
        <v>10</v>
      </c>
      <c r="K7" s="23" t="n">
        <v>4</v>
      </c>
      <c r="L7" s="26" t="n">
        <v>220000</v>
      </c>
    </row>
    <row r="8" ht="18" customHeight="1">
      <c r="A8" s="23" t="inlineStr">
        <is>
          <t>esxi-prod-05.lab</t>
        </is>
      </c>
      <c r="B8" s="24" t="inlineStr">
        <is>
          <t>connected</t>
        </is>
      </c>
      <c r="C8" s="27" t="inlineStr">
        <is>
          <t>yellow</t>
        </is>
      </c>
      <c r="D8" s="23" t="inlineStr">
        <is>
          <t>DC-Paris</t>
        </is>
      </c>
      <c r="E8" s="23" t="inlineStr">
        <is>
          <t>PROD-Cluster-02</t>
        </is>
      </c>
      <c r="F8" s="25" t="n">
        <v>0.8100000000000001</v>
      </c>
      <c r="G8" s="26" t="n">
        <v>262144</v>
      </c>
      <c r="H8" s="23" t="n">
        <v>32</v>
      </c>
      <c r="I8" s="25" t="n">
        <v>0.19</v>
      </c>
      <c r="J8" s="26" t="n">
        <v>6</v>
      </c>
      <c r="K8" s="23" t="n">
        <v>4</v>
      </c>
      <c r="L8" s="26" t="n">
        <v>240000</v>
      </c>
    </row>
    <row r="9" ht="18" customHeight="1">
      <c r="A9" s="23" t="inlineStr">
        <is>
          <t>esxi-prod-06.lab</t>
        </is>
      </c>
      <c r="B9" s="24" t="inlineStr">
        <is>
          <t>connected</t>
        </is>
      </c>
      <c r="C9" s="24" t="inlineStr">
        <is>
          <t>green</t>
        </is>
      </c>
      <c r="D9" s="23" t="inlineStr">
        <is>
          <t>DC-Paris</t>
        </is>
      </c>
      <c r="E9" s="23" t="inlineStr">
        <is>
          <t>PROD-Cluster-02</t>
        </is>
      </c>
      <c r="F9" s="25" t="n">
        <v>0.74</v>
      </c>
      <c r="G9" s="26" t="n">
        <v>262144</v>
      </c>
      <c r="H9" s="23" t="n">
        <v>32</v>
      </c>
      <c r="I9" s="25" t="n">
        <v>0.26</v>
      </c>
      <c r="J9" s="26" t="n">
        <v>8</v>
      </c>
      <c r="K9" s="23" t="n">
        <v>4</v>
      </c>
      <c r="L9" s="26" t="n">
        <v>210000</v>
      </c>
    </row>
    <row r="10" ht="18" customHeight="1">
      <c r="A10" s="23" t="inlineStr">
        <is>
          <t>esxi-dev-01.lab</t>
        </is>
      </c>
      <c r="B10" s="24" t="inlineStr">
        <is>
          <t>connected</t>
        </is>
      </c>
      <c r="C10" s="24" t="inlineStr">
        <is>
          <t>green</t>
        </is>
      </c>
      <c r="D10" s="23" t="inlineStr">
        <is>
          <t>DC-Nantes</t>
        </is>
      </c>
      <c r="E10" s="23" t="inlineStr">
        <is>
          <t>DEV-Cluster-01</t>
        </is>
      </c>
      <c r="F10" s="25" t="n">
        <v>0.18</v>
      </c>
      <c r="G10" s="26" t="n">
        <v>196608</v>
      </c>
      <c r="H10" s="23" t="n">
        <v>24</v>
      </c>
      <c r="I10" s="25" t="n">
        <v>0.82</v>
      </c>
      <c r="J10" s="26" t="n">
        <v>20</v>
      </c>
      <c r="K10" s="23" t="n">
        <v>2</v>
      </c>
      <c r="L10" s="26" t="n">
        <v>45000</v>
      </c>
    </row>
    <row r="11" ht="18" customHeight="1">
      <c r="A11" s="23" t="inlineStr">
        <is>
          <t>esxi-dev-02.lab</t>
        </is>
      </c>
      <c r="B11" s="24" t="inlineStr">
        <is>
          <t>connected</t>
        </is>
      </c>
      <c r="C11" s="24" t="inlineStr">
        <is>
          <t>green</t>
        </is>
      </c>
      <c r="D11" s="23" t="inlineStr">
        <is>
          <t>DC-Nantes</t>
        </is>
      </c>
      <c r="E11" s="23" t="inlineStr">
        <is>
          <t>DEV-Cluster-01</t>
        </is>
      </c>
      <c r="F11" s="25" t="n">
        <v>0.12</v>
      </c>
      <c r="G11" s="26" t="n">
        <v>196608</v>
      </c>
      <c r="H11" s="23" t="n">
        <v>24</v>
      </c>
      <c r="I11" s="25" t="n">
        <v>0.88</v>
      </c>
      <c r="J11" s="26" t="n">
        <v>21</v>
      </c>
      <c r="K11" s="23" t="n">
        <v>2</v>
      </c>
      <c r="L11" s="26" t="n">
        <v>35000</v>
      </c>
    </row>
    <row r="12" ht="18" customHeight="1">
      <c r="A12" s="23" t="inlineStr">
        <is>
          <t>esxi-dev-03.lab</t>
        </is>
      </c>
      <c r="B12" s="24" t="inlineStr">
        <is>
          <t>connected</t>
        </is>
      </c>
      <c r="C12" s="24" t="inlineStr">
        <is>
          <t>green</t>
        </is>
      </c>
      <c r="D12" s="23" t="inlineStr">
        <is>
          <t>DC-Nantes</t>
        </is>
      </c>
      <c r="E12" s="23" t="inlineStr">
        <is>
          <t>DEV-Cluster-01</t>
        </is>
      </c>
      <c r="F12" s="25" t="n">
        <v>0.09</v>
      </c>
      <c r="G12" s="26" t="n">
        <v>196608</v>
      </c>
      <c r="H12" s="23" t="n">
        <v>24</v>
      </c>
      <c r="I12" s="25" t="n">
        <v>0.91</v>
      </c>
      <c r="J12" s="26" t="n">
        <v>22</v>
      </c>
      <c r="K12" s="23" t="n">
        <v>2</v>
      </c>
      <c r="L12" s="26" t="n">
        <v>28000</v>
      </c>
    </row>
    <row r="13" ht="18" customHeight="1">
      <c r="A13" s="23" t="inlineStr">
        <is>
          <t>esxi-dr-01.lab</t>
        </is>
      </c>
      <c r="B13" s="24" t="inlineStr">
        <is>
          <t>connected</t>
        </is>
      </c>
      <c r="C13" s="24" t="inlineStr">
        <is>
          <t>green</t>
        </is>
      </c>
      <c r="D13" s="23" t="inlineStr">
        <is>
          <t>DC-Lyon</t>
        </is>
      </c>
      <c r="E13" s="23" t="inlineStr">
        <is>
          <t>DR-Cluster-01</t>
        </is>
      </c>
      <c r="F13" s="25" t="n">
        <v>0.05</v>
      </c>
      <c r="G13" s="26" t="n">
        <v>524288</v>
      </c>
      <c r="H13" s="23" t="n">
        <v>48</v>
      </c>
      <c r="I13" s="25" t="n">
        <v>0.95</v>
      </c>
      <c r="J13" s="26" t="n">
        <v>46</v>
      </c>
      <c r="K13" s="23" t="n">
        <v>4</v>
      </c>
      <c r="L13" s="26" t="n">
        <v>30000</v>
      </c>
    </row>
    <row r="15">
      <c r="A15" s="28" t="inlineStr">
        <is>
          <t>💡  Pour ajouter des lignes : Tab sur la dernière cellule du tableau. Les % doivent être des nombres décimaux (0.45 = 45%).</t>
        </is>
      </c>
    </row>
  </sheetData>
  <mergeCells count="3">
    <mergeCell ref="A2:L2"/>
    <mergeCell ref="A15:L15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838F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0" customWidth="1" min="4" max="4"/>
    <col width="22" customWidth="1" min="5" max="5"/>
    <col width="13" customWidth="1" min="6" max="6"/>
    <col width="14" customWidth="1" min="7" max="7"/>
    <col width="14" customWidth="1" min="8" max="8"/>
    <col width="12" customWidth="1" min="9" max="9"/>
  </cols>
  <sheetData>
    <row r="1" ht="50" customHeight="1">
      <c r="A1" s="1" t="inlineStr">
        <is>
          <t>💾  DATASTORES – Données brutes vCenter 8</t>
        </is>
      </c>
    </row>
    <row r="2" ht="16" customHeight="1">
      <c r="A2" s="2" t="inlineStr">
        <is>
          <t>⚠️  Coller à partir de A4  |  Ligne 3 = en-têtes  |  Tableau sans limite de lignes</t>
        </is>
      </c>
    </row>
    <row r="3" ht="26" customHeight="1">
      <c r="A3" s="29" t="inlineStr">
        <is>
          <t>Name</t>
        </is>
      </c>
      <c r="B3" s="29" t="inlineStr">
        <is>
          <t>Cluster</t>
        </is>
      </c>
      <c r="C3" s="29" t="inlineStr">
        <is>
          <t>Status</t>
        </is>
      </c>
      <c r="D3" s="29" t="inlineStr">
        <is>
          <t>Type</t>
        </is>
      </c>
      <c r="E3" s="29" t="inlineStr">
        <is>
          <t>Datastore cluster</t>
        </is>
      </c>
      <c r="F3" s="29" t="inlineStr">
        <is>
          <t>Capacity TB</t>
        </is>
      </c>
      <c r="G3" s="29" t="inlineStr">
        <is>
          <t>Capacity</t>
        </is>
      </c>
      <c r="H3" s="29" t="inlineStr">
        <is>
          <t>Free</t>
        </is>
      </c>
      <c r="I3" s="29" t="inlineStr">
        <is>
          <t>FreeSize</t>
        </is>
      </c>
    </row>
    <row r="4" ht="18" customHeight="1">
      <c r="A4" s="23" t="inlineStr">
        <is>
          <t>PROD-DS-SAN-01</t>
        </is>
      </c>
      <c r="B4" s="23" t="inlineStr">
        <is>
          <t>PROD-Cluster-01</t>
        </is>
      </c>
      <c r="C4" s="24" t="inlineStr">
        <is>
          <t>green</t>
        </is>
      </c>
      <c r="D4" s="23" t="inlineStr">
        <is>
          <t>VMFS</t>
        </is>
      </c>
      <c r="E4" s="23" t="inlineStr">
        <is>
          <t>PROD-DsCluster</t>
        </is>
      </c>
      <c r="F4" s="30" t="n">
        <v>10</v>
      </c>
      <c r="G4" s="26" t="n">
        <v>10240</v>
      </c>
      <c r="H4" s="26" t="n">
        <v>2800</v>
      </c>
      <c r="I4" s="30" t="n">
        <v>2.7</v>
      </c>
    </row>
    <row r="5" ht="18" customHeight="1">
      <c r="A5" s="23" t="inlineStr">
        <is>
          <t>PROD-DS-SAN-02</t>
        </is>
      </c>
      <c r="B5" s="23" t="inlineStr">
        <is>
          <t>PROD-Cluster-01</t>
        </is>
      </c>
      <c r="C5" s="27" t="inlineStr">
        <is>
          <t>yellow</t>
        </is>
      </c>
      <c r="D5" s="23" t="inlineStr">
        <is>
          <t>VMFS</t>
        </is>
      </c>
      <c r="E5" s="23" t="inlineStr">
        <is>
          <t>PROD-DsCluster</t>
        </is>
      </c>
      <c r="F5" s="30" t="n">
        <v>10</v>
      </c>
      <c r="G5" s="26" t="n">
        <v>10240</v>
      </c>
      <c r="H5" s="26" t="n">
        <v>1100</v>
      </c>
      <c r="I5" s="30" t="n">
        <v>1.1</v>
      </c>
    </row>
    <row r="6" ht="18" customHeight="1">
      <c r="A6" s="23" t="inlineStr">
        <is>
          <t>PROD-DS-NFS-01</t>
        </is>
      </c>
      <c r="B6" s="23" t="inlineStr">
        <is>
          <t>PROD-Cluster-01</t>
        </is>
      </c>
      <c r="C6" s="24" t="inlineStr">
        <is>
          <t>green</t>
        </is>
      </c>
      <c r="D6" s="23" t="inlineStr">
        <is>
          <t>NFS</t>
        </is>
      </c>
      <c r="E6" s="23" t="inlineStr"/>
      <c r="F6" s="30" t="n">
        <v>5</v>
      </c>
      <c r="G6" s="26" t="n">
        <v>5120</v>
      </c>
      <c r="H6" s="26" t="n">
        <v>1800</v>
      </c>
      <c r="I6" s="30" t="n">
        <v>1.8</v>
      </c>
    </row>
    <row r="7" ht="18" customHeight="1">
      <c r="A7" s="23" t="inlineStr">
        <is>
          <t>PROD-DS-SAN-03</t>
        </is>
      </c>
      <c r="B7" s="23" t="inlineStr">
        <is>
          <t>PROD-Cluster-02</t>
        </is>
      </c>
      <c r="C7" s="24" t="inlineStr">
        <is>
          <t>green</t>
        </is>
      </c>
      <c r="D7" s="23" t="inlineStr">
        <is>
          <t>VMFS</t>
        </is>
      </c>
      <c r="E7" s="23" t="inlineStr">
        <is>
          <t>PROD-DsCluster-2</t>
        </is>
      </c>
      <c r="F7" s="30" t="n">
        <v>8</v>
      </c>
      <c r="G7" s="26" t="n">
        <v>8192</v>
      </c>
      <c r="H7" s="26" t="n">
        <v>3500</v>
      </c>
      <c r="I7" s="30" t="n">
        <v>3.4</v>
      </c>
    </row>
    <row r="8" ht="18" customHeight="1">
      <c r="A8" s="23" t="inlineStr">
        <is>
          <t>PROD-DS-SAN-04</t>
        </is>
      </c>
      <c r="B8" s="23" t="inlineStr">
        <is>
          <t>PROD-Cluster-02</t>
        </is>
      </c>
      <c r="C8" s="31" t="inlineStr">
        <is>
          <t>red</t>
        </is>
      </c>
      <c r="D8" s="23" t="inlineStr">
        <is>
          <t>VMFS</t>
        </is>
      </c>
      <c r="E8" s="23" t="inlineStr">
        <is>
          <t>PROD-DsCluster-2</t>
        </is>
      </c>
      <c r="F8" s="30" t="n">
        <v>8</v>
      </c>
      <c r="G8" s="26" t="n">
        <v>8192</v>
      </c>
      <c r="H8" s="26" t="n">
        <v>400</v>
      </c>
      <c r="I8" s="30" t="n">
        <v>0.4</v>
      </c>
    </row>
    <row r="9" ht="18" customHeight="1">
      <c r="A9" s="23" t="inlineStr">
        <is>
          <t>PROD-DS-VSAN-01</t>
        </is>
      </c>
      <c r="B9" s="23" t="inlineStr">
        <is>
          <t>PROD-Cluster-02</t>
        </is>
      </c>
      <c r="C9" s="24" t="inlineStr">
        <is>
          <t>green</t>
        </is>
      </c>
      <c r="D9" s="23" t="inlineStr">
        <is>
          <t>vSAN</t>
        </is>
      </c>
      <c r="E9" s="23" t="inlineStr"/>
      <c r="F9" s="30" t="n">
        <v>15</v>
      </c>
      <c r="G9" s="26" t="n">
        <v>15360</v>
      </c>
      <c r="H9" s="26" t="n">
        <v>6000</v>
      </c>
      <c r="I9" s="30" t="n">
        <v>5.9</v>
      </c>
    </row>
    <row r="10" ht="18" customHeight="1">
      <c r="A10" s="23" t="inlineStr">
        <is>
          <t>DEV-DS-NFS-01</t>
        </is>
      </c>
      <c r="B10" s="23" t="inlineStr">
        <is>
          <t>DEV-Cluster-01</t>
        </is>
      </c>
      <c r="C10" s="24" t="inlineStr">
        <is>
          <t>green</t>
        </is>
      </c>
      <c r="D10" s="23" t="inlineStr">
        <is>
          <t>NFS</t>
        </is>
      </c>
      <c r="E10" s="23" t="inlineStr"/>
      <c r="F10" s="30" t="n">
        <v>4</v>
      </c>
      <c r="G10" s="26" t="n">
        <v>4096</v>
      </c>
      <c r="H10" s="26" t="n">
        <v>2100</v>
      </c>
      <c r="I10" s="30" t="n">
        <v>2</v>
      </c>
    </row>
    <row r="11" ht="18" customHeight="1">
      <c r="A11" s="23" t="inlineStr">
        <is>
          <t>DEV-DS-SAN-01</t>
        </is>
      </c>
      <c r="B11" s="23" t="inlineStr">
        <is>
          <t>DEV-Cluster-01</t>
        </is>
      </c>
      <c r="C11" s="24" t="inlineStr">
        <is>
          <t>green</t>
        </is>
      </c>
      <c r="D11" s="23" t="inlineStr">
        <is>
          <t>VMFS</t>
        </is>
      </c>
      <c r="E11" s="23" t="inlineStr"/>
      <c r="F11" s="30" t="n">
        <v>2</v>
      </c>
      <c r="G11" s="26" t="n">
        <v>2048</v>
      </c>
      <c r="H11" s="26" t="n">
        <v>800</v>
      </c>
      <c r="I11" s="30" t="n">
        <v>0.8</v>
      </c>
    </row>
    <row r="12" ht="18" customHeight="1">
      <c r="A12" s="23" t="inlineStr">
        <is>
          <t>ARCHIVE-DS-01</t>
        </is>
      </c>
      <c r="B12" s="23" t="inlineStr">
        <is>
          <t>DEV-Cluster-01</t>
        </is>
      </c>
      <c r="C12" s="24" t="inlineStr">
        <is>
          <t>green</t>
        </is>
      </c>
      <c r="D12" s="23" t="inlineStr">
        <is>
          <t>NFS</t>
        </is>
      </c>
      <c r="E12" s="23" t="inlineStr"/>
      <c r="F12" s="30" t="n">
        <v>20</v>
      </c>
      <c r="G12" s="26" t="n">
        <v>20480</v>
      </c>
      <c r="H12" s="26" t="n">
        <v>8000</v>
      </c>
      <c r="I12" s="30" t="n">
        <v>7.8</v>
      </c>
    </row>
    <row r="13" ht="18" customHeight="1">
      <c r="A13" s="23" t="inlineStr">
        <is>
          <t>DR-DS-SAN-01</t>
        </is>
      </c>
      <c r="B13" s="23" t="inlineStr">
        <is>
          <t>DR-Cluster-01</t>
        </is>
      </c>
      <c r="C13" s="24" t="inlineStr">
        <is>
          <t>green</t>
        </is>
      </c>
      <c r="D13" s="23" t="inlineStr">
        <is>
          <t>VMFS</t>
        </is>
      </c>
      <c r="E13" s="23" t="inlineStr">
        <is>
          <t>DR-DsCluster</t>
        </is>
      </c>
      <c r="F13" s="30" t="n">
        <v>12</v>
      </c>
      <c r="G13" s="26" t="n">
        <v>12288</v>
      </c>
      <c r="H13" s="26" t="n">
        <v>9000</v>
      </c>
      <c r="I13" s="30" t="n">
        <v>8.800000000000001</v>
      </c>
    </row>
    <row r="15">
      <c r="A15" s="32" t="inlineStr">
        <is>
          <t>💡  Colonnes Capacity et Free doivent être des nombres (GB).</t>
        </is>
      </c>
    </row>
  </sheetData>
  <mergeCells count="3">
    <mergeCell ref="A15:I15"/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4" customWidth="1" min="4" max="4"/>
    <col width="22" customWidth="1" min="5" max="5"/>
    <col width="20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8" customWidth="1" min="12" max="12"/>
  </cols>
  <sheetData>
    <row r="1" ht="50" customHeight="1">
      <c r="A1" s="1" t="inlineStr">
        <is>
          <t>⚡  MACHINES VIRTUELLES – Données brutes vCenter 8</t>
        </is>
      </c>
    </row>
    <row r="2" ht="16" customHeight="1">
      <c r="A2" s="2" t="inlineStr">
        <is>
          <t>⚠️  Coller à partir de A4  |  Ligne 3 = en-têtes  |  Prévu pour 2000+ VMs — tableau sans limite</t>
        </is>
      </c>
    </row>
    <row r="3" ht="26" customHeight="1">
      <c r="A3" s="33" t="inlineStr">
        <is>
          <t>Name</t>
        </is>
      </c>
      <c r="B3" s="33" t="inlineStr">
        <is>
          <t>State</t>
        </is>
      </c>
      <c r="C3" s="33" t="inlineStr">
        <is>
          <t>Status</t>
        </is>
      </c>
      <c r="D3" s="33" t="inlineStr">
        <is>
          <t>Host</t>
        </is>
      </c>
      <c r="E3" s="33" t="inlineStr">
        <is>
          <t>ClusterDatacenter</t>
        </is>
      </c>
      <c r="F3" s="33" t="inlineStr">
        <is>
          <t>Cluster</t>
        </is>
      </c>
      <c r="G3" s="33" t="inlineStr">
        <is>
          <t>Provisioned Space</t>
        </is>
      </c>
      <c r="H3" s="33" t="inlineStr">
        <is>
          <t>Used Space</t>
        </is>
      </c>
      <c r="I3" s="33" t="inlineStr">
        <is>
          <t>Host CPU</t>
        </is>
      </c>
      <c r="J3" s="33" t="inlineStr">
        <is>
          <t>Host Mem</t>
        </is>
      </c>
      <c r="K3" s="33" t="inlineStr">
        <is>
          <t>Active Memory</t>
        </is>
      </c>
      <c r="L3" s="33" t="inlineStr">
        <is>
          <t>CPUs</t>
        </is>
      </c>
    </row>
    <row r="4" ht="18" customHeight="1">
      <c r="A4" s="23" t="inlineStr">
        <is>
          <t>vm-web-prod-01</t>
        </is>
      </c>
      <c r="B4" s="24" t="inlineStr">
        <is>
          <t>poweredOn</t>
        </is>
      </c>
      <c r="C4" s="24" t="inlineStr">
        <is>
          <t>green</t>
        </is>
      </c>
      <c r="D4" s="23" t="inlineStr">
        <is>
          <t>esxi-prod-01.lab</t>
        </is>
      </c>
      <c r="E4" s="23" t="inlineStr">
        <is>
          <t>DC-Paris</t>
        </is>
      </c>
      <c r="F4" s="23" t="inlineStr">
        <is>
          <t>PROD-Cluster-01</t>
        </is>
      </c>
      <c r="G4" s="26" t="n">
        <v>120</v>
      </c>
      <c r="H4" s="26" t="n">
        <v>85</v>
      </c>
      <c r="I4" s="25" t="n">
        <v>0.18</v>
      </c>
      <c r="J4" s="26" t="n">
        <v>91136</v>
      </c>
      <c r="K4" s="26" t="n">
        <v>65536</v>
      </c>
      <c r="L4" s="23" t="n">
        <v>4</v>
      </c>
    </row>
    <row r="5" ht="18" customHeight="1">
      <c r="A5" s="23" t="inlineStr">
        <is>
          <t>vm-db-prod-01</t>
        </is>
      </c>
      <c r="B5" s="24" t="inlineStr">
        <is>
          <t>poweredOn</t>
        </is>
      </c>
      <c r="C5" s="24" t="inlineStr">
        <is>
          <t>green</t>
        </is>
      </c>
      <c r="D5" s="23" t="inlineStr">
        <is>
          <t>esxi-prod-01.lab</t>
        </is>
      </c>
      <c r="E5" s="23" t="inlineStr">
        <is>
          <t>DC-Paris</t>
        </is>
      </c>
      <c r="F5" s="23" t="inlineStr">
        <is>
          <t>PROD-Cluster-01</t>
        </is>
      </c>
      <c r="G5" s="26" t="n">
        <v>500</v>
      </c>
      <c r="H5" s="26" t="n">
        <v>420</v>
      </c>
      <c r="I5" s="25" t="n">
        <v>0.62</v>
      </c>
      <c r="J5" s="26" t="n">
        <v>393216</v>
      </c>
      <c r="K5" s="26" t="n">
        <v>280000</v>
      </c>
      <c r="L5" s="23" t="n">
        <v>8</v>
      </c>
    </row>
    <row r="6" ht="18" customHeight="1">
      <c r="A6" s="23" t="inlineStr">
        <is>
          <t>vm-app-prod-01</t>
        </is>
      </c>
      <c r="B6" s="24" t="inlineStr">
        <is>
          <t>poweredOn</t>
        </is>
      </c>
      <c r="C6" s="24" t="inlineStr">
        <is>
          <t>green</t>
        </is>
      </c>
      <c r="D6" s="23" t="inlineStr">
        <is>
          <t>esxi-prod-02.lab</t>
        </is>
      </c>
      <c r="E6" s="23" t="inlineStr">
        <is>
          <t>DC-Paris</t>
        </is>
      </c>
      <c r="F6" s="23" t="inlineStr">
        <is>
          <t>PROD-Cluster-01</t>
        </is>
      </c>
      <c r="G6" s="26" t="n">
        <v>200</v>
      </c>
      <c r="H6" s="26" t="n">
        <v>150</v>
      </c>
      <c r="I6" s="25" t="n">
        <v>0.28</v>
      </c>
      <c r="J6" s="26" t="n">
        <v>245760</v>
      </c>
      <c r="K6" s="26" t="n">
        <v>131072</v>
      </c>
      <c r="L6" s="23" t="n">
        <v>4</v>
      </c>
    </row>
    <row r="7" ht="18" customHeight="1">
      <c r="A7" s="23" t="inlineStr">
        <is>
          <t>vm-app-prod-02</t>
        </is>
      </c>
      <c r="B7" s="24" t="inlineStr">
        <is>
          <t>poweredOn</t>
        </is>
      </c>
      <c r="C7" s="27" t="inlineStr">
        <is>
          <t>yellow</t>
        </is>
      </c>
      <c r="D7" s="23" t="inlineStr">
        <is>
          <t>esxi-prod-02.lab</t>
        </is>
      </c>
      <c r="E7" s="23" t="inlineStr">
        <is>
          <t>DC-Paris</t>
        </is>
      </c>
      <c r="F7" s="23" t="inlineStr">
        <is>
          <t>PROD-Cluster-01</t>
        </is>
      </c>
      <c r="G7" s="26" t="n">
        <v>200</v>
      </c>
      <c r="H7" s="26" t="n">
        <v>160</v>
      </c>
      <c r="I7" s="25" t="n">
        <v>0.31</v>
      </c>
      <c r="J7" s="26" t="n">
        <v>245760</v>
      </c>
      <c r="K7" s="26" t="n">
        <v>131072</v>
      </c>
      <c r="L7" s="23" t="n">
        <v>4</v>
      </c>
    </row>
    <row r="8" ht="18" customHeight="1">
      <c r="A8" s="23" t="inlineStr">
        <is>
          <t>vm-api-prod-01</t>
        </is>
      </c>
      <c r="B8" s="24" t="inlineStr">
        <is>
          <t>poweredOn</t>
        </is>
      </c>
      <c r="C8" s="24" t="inlineStr">
        <is>
          <t>green</t>
        </is>
      </c>
      <c r="D8" s="23" t="inlineStr">
        <is>
          <t>esxi-prod-03.lab</t>
        </is>
      </c>
      <c r="E8" s="23" t="inlineStr">
        <is>
          <t>DC-Paris</t>
        </is>
      </c>
      <c r="F8" s="23" t="inlineStr">
        <is>
          <t>PROD-Cluster-01</t>
        </is>
      </c>
      <c r="G8" s="26" t="n">
        <v>80</v>
      </c>
      <c r="H8" s="26" t="n">
        <v>55</v>
      </c>
      <c r="I8" s="25" t="n">
        <v>0.1</v>
      </c>
      <c r="J8" s="26" t="n">
        <v>180000</v>
      </c>
      <c r="K8" s="26" t="n">
        <v>65536</v>
      </c>
      <c r="L8" s="23" t="n">
        <v>2</v>
      </c>
    </row>
    <row r="9" ht="18" customHeight="1">
      <c r="A9" s="23" t="inlineStr">
        <is>
          <t>vm-db-prod-02</t>
        </is>
      </c>
      <c r="B9" s="24" t="inlineStr">
        <is>
          <t>poweredOn</t>
        </is>
      </c>
      <c r="C9" s="24" t="inlineStr">
        <is>
          <t>green</t>
        </is>
      </c>
      <c r="D9" s="23" t="inlineStr">
        <is>
          <t>esxi-prod-04.lab</t>
        </is>
      </c>
      <c r="E9" s="23" t="inlineStr">
        <is>
          <t>DC-Paris</t>
        </is>
      </c>
      <c r="F9" s="23" t="inlineStr">
        <is>
          <t>PROD-Cluster-02</t>
        </is>
      </c>
      <c r="G9" s="26" t="n">
        <v>800</v>
      </c>
      <c r="H9" s="26" t="n">
        <v>650</v>
      </c>
      <c r="I9" s="25" t="n">
        <v>0.55</v>
      </c>
      <c r="J9" s="26" t="n">
        <v>262144</v>
      </c>
      <c r="K9" s="26" t="n">
        <v>196608</v>
      </c>
      <c r="L9" s="23" t="n">
        <v>8</v>
      </c>
    </row>
    <row r="10" ht="18" customHeight="1">
      <c r="A10" s="23" t="inlineStr">
        <is>
          <t>vm-erp-prod-01</t>
        </is>
      </c>
      <c r="B10" s="24" t="inlineStr">
        <is>
          <t>poweredOn</t>
        </is>
      </c>
      <c r="C10" s="24" t="inlineStr">
        <is>
          <t>green</t>
        </is>
      </c>
      <c r="D10" s="23" t="inlineStr">
        <is>
          <t>esxi-prod-04.lab</t>
        </is>
      </c>
      <c r="E10" s="23" t="inlineStr">
        <is>
          <t>DC-Paris</t>
        </is>
      </c>
      <c r="F10" s="23" t="inlineStr">
        <is>
          <t>PROD-Cluster-02</t>
        </is>
      </c>
      <c r="G10" s="26" t="n">
        <v>600</v>
      </c>
      <c r="H10" s="26" t="n">
        <v>520</v>
      </c>
      <c r="I10" s="25" t="n">
        <v>0.45</v>
      </c>
      <c r="J10" s="26" t="n">
        <v>262144</v>
      </c>
      <c r="K10" s="26" t="n">
        <v>180000</v>
      </c>
      <c r="L10" s="23" t="n">
        <v>16</v>
      </c>
    </row>
    <row r="11" ht="18" customHeight="1">
      <c r="A11" s="23" t="inlineStr">
        <is>
          <t>vm-backup-01</t>
        </is>
      </c>
      <c r="B11" s="24" t="inlineStr">
        <is>
          <t>poweredOn</t>
        </is>
      </c>
      <c r="C11" s="24" t="inlineStr">
        <is>
          <t>green</t>
        </is>
      </c>
      <c r="D11" s="23" t="inlineStr">
        <is>
          <t>esxi-prod-05.lab</t>
        </is>
      </c>
      <c r="E11" s="23" t="inlineStr">
        <is>
          <t>DC-Paris</t>
        </is>
      </c>
      <c r="F11" s="23" t="inlineStr">
        <is>
          <t>PROD-Cluster-02</t>
        </is>
      </c>
      <c r="G11" s="26" t="n">
        <v>2000</v>
      </c>
      <c r="H11" s="26" t="n">
        <v>1800</v>
      </c>
      <c r="I11" s="25" t="n">
        <v>0.08</v>
      </c>
      <c r="J11" s="26" t="n">
        <v>262144</v>
      </c>
      <c r="K11" s="26" t="n">
        <v>32768</v>
      </c>
      <c r="L11" s="23" t="n">
        <v>4</v>
      </c>
    </row>
    <row r="12" ht="18" customHeight="1">
      <c r="A12" s="23" t="inlineStr">
        <is>
          <t>vm-erp-prod-02</t>
        </is>
      </c>
      <c r="B12" s="24" t="inlineStr">
        <is>
          <t>poweredOn</t>
        </is>
      </c>
      <c r="C12" s="24" t="inlineStr">
        <is>
          <t>green</t>
        </is>
      </c>
      <c r="D12" s="23" t="inlineStr">
        <is>
          <t>esxi-prod-05.lab</t>
        </is>
      </c>
      <c r="E12" s="23" t="inlineStr">
        <is>
          <t>DC-Paris</t>
        </is>
      </c>
      <c r="F12" s="23" t="inlineStr">
        <is>
          <t>PROD-Cluster-02</t>
        </is>
      </c>
      <c r="G12" s="26" t="n">
        <v>400</v>
      </c>
      <c r="H12" s="26" t="n">
        <v>350</v>
      </c>
      <c r="I12" s="25" t="n">
        <v>0.38</v>
      </c>
      <c r="J12" s="26" t="n">
        <v>262144</v>
      </c>
      <c r="K12" s="26" t="n">
        <v>150000</v>
      </c>
      <c r="L12" s="23" t="n">
        <v>8</v>
      </c>
    </row>
    <row r="13" ht="18" customHeight="1">
      <c r="A13" s="23" t="inlineStr">
        <is>
          <t>vm-middleware-01</t>
        </is>
      </c>
      <c r="B13" s="24" t="inlineStr">
        <is>
          <t>poweredOn</t>
        </is>
      </c>
      <c r="C13" s="24" t="inlineStr">
        <is>
          <t>green</t>
        </is>
      </c>
      <c r="D13" s="23" t="inlineStr">
        <is>
          <t>esxi-prod-06.lab</t>
        </is>
      </c>
      <c r="E13" s="23" t="inlineStr">
        <is>
          <t>DC-Paris</t>
        </is>
      </c>
      <c r="F13" s="23" t="inlineStr">
        <is>
          <t>PROD-Cluster-02</t>
        </is>
      </c>
      <c r="G13" s="26" t="n">
        <v>180</v>
      </c>
      <c r="H13" s="26" t="n">
        <v>120</v>
      </c>
      <c r="I13" s="25" t="n">
        <v>0.22</v>
      </c>
      <c r="J13" s="26" t="n">
        <v>262144</v>
      </c>
      <c r="K13" s="26" t="n">
        <v>98304</v>
      </c>
      <c r="L13" s="23" t="n">
        <v>4</v>
      </c>
    </row>
    <row r="14" ht="18" customHeight="1">
      <c r="A14" s="23" t="inlineStr">
        <is>
          <t>vm-dev-01</t>
        </is>
      </c>
      <c r="B14" s="24" t="inlineStr">
        <is>
          <t>poweredOn</t>
        </is>
      </c>
      <c r="C14" s="24" t="inlineStr">
        <is>
          <t>green</t>
        </is>
      </c>
      <c r="D14" s="23" t="inlineStr">
        <is>
          <t>esxi-dev-01.lab</t>
        </is>
      </c>
      <c r="E14" s="23" t="inlineStr">
        <is>
          <t>DC-Nantes</t>
        </is>
      </c>
      <c r="F14" s="23" t="inlineStr">
        <is>
          <t>DEV-Cluster-01</t>
        </is>
      </c>
      <c r="G14" s="26" t="n">
        <v>80</v>
      </c>
      <c r="H14" s="26" t="n">
        <v>40</v>
      </c>
      <c r="I14" s="25" t="n">
        <v>0.05</v>
      </c>
      <c r="J14" s="26" t="n">
        <v>45000</v>
      </c>
      <c r="K14" s="26" t="n">
        <v>16384</v>
      </c>
      <c r="L14" s="23" t="n">
        <v>2</v>
      </c>
    </row>
    <row r="15" ht="18" customHeight="1">
      <c r="A15" s="23" t="inlineStr">
        <is>
          <t>vm-dev-02</t>
        </is>
      </c>
      <c r="B15" s="34" t="inlineStr">
        <is>
          <t>poweredOff</t>
        </is>
      </c>
      <c r="C15" s="24" t="inlineStr">
        <is>
          <t>green</t>
        </is>
      </c>
      <c r="D15" s="23" t="inlineStr">
        <is>
          <t>esxi-dev-01.lab</t>
        </is>
      </c>
      <c r="E15" s="23" t="inlineStr">
        <is>
          <t>DC-Nantes</t>
        </is>
      </c>
      <c r="F15" s="23" t="inlineStr">
        <is>
          <t>DEV-Cluster-01</t>
        </is>
      </c>
      <c r="G15" s="26" t="n">
        <v>120</v>
      </c>
      <c r="H15" s="26" t="n">
        <v>100</v>
      </c>
      <c r="I15" s="25" t="n">
        <v>0</v>
      </c>
      <c r="J15" s="26" t="n">
        <v>0</v>
      </c>
      <c r="K15" s="26" t="n">
        <v>0</v>
      </c>
      <c r="L15" s="23" t="n">
        <v>4</v>
      </c>
    </row>
    <row r="16" ht="18" customHeight="1">
      <c r="A16" s="23" t="inlineStr">
        <is>
          <t>vm-test-01</t>
        </is>
      </c>
      <c r="B16" s="24" t="inlineStr">
        <is>
          <t>poweredOn</t>
        </is>
      </c>
      <c r="C16" s="27" t="inlineStr">
        <is>
          <t>yellow</t>
        </is>
      </c>
      <c r="D16" s="23" t="inlineStr">
        <is>
          <t>esxi-dev-02.lab</t>
        </is>
      </c>
      <c r="E16" s="23" t="inlineStr">
        <is>
          <t>DC-Nantes</t>
        </is>
      </c>
      <c r="F16" s="23" t="inlineStr">
        <is>
          <t>DEV-Cluster-01</t>
        </is>
      </c>
      <c r="G16" s="26" t="n">
        <v>60</v>
      </c>
      <c r="H16" s="26" t="n">
        <v>30</v>
      </c>
      <c r="I16" s="25" t="n">
        <v>0.03</v>
      </c>
      <c r="J16" s="26" t="n">
        <v>35000</v>
      </c>
      <c r="K16" s="26" t="n">
        <v>10000</v>
      </c>
      <c r="L16" s="23" t="n">
        <v>2</v>
      </c>
    </row>
    <row r="17" ht="18" customHeight="1">
      <c r="A17" s="23" t="inlineStr">
        <is>
          <t>vm-test-02</t>
        </is>
      </c>
      <c r="B17" s="34" t="inlineStr">
        <is>
          <t>poweredOff</t>
        </is>
      </c>
      <c r="C17" s="31" t="inlineStr">
        <is>
          <t>red</t>
        </is>
      </c>
      <c r="D17" s="23" t="inlineStr">
        <is>
          <t>esxi-dev-02.lab</t>
        </is>
      </c>
      <c r="E17" s="23" t="inlineStr">
        <is>
          <t>DC-Nantes</t>
        </is>
      </c>
      <c r="F17" s="23" t="inlineStr">
        <is>
          <t>DEV-Cluster-01</t>
        </is>
      </c>
      <c r="G17" s="26" t="n">
        <v>60</v>
      </c>
      <c r="H17" s="26" t="n">
        <v>25</v>
      </c>
      <c r="I17" s="25" t="n">
        <v>0</v>
      </c>
      <c r="J17" s="26" t="n">
        <v>0</v>
      </c>
      <c r="K17" s="26" t="n">
        <v>0</v>
      </c>
      <c r="L17" s="23" t="n">
        <v>2</v>
      </c>
    </row>
    <row r="18" ht="18" customHeight="1">
      <c r="A18" s="23" t="inlineStr">
        <is>
          <t>vm-ci-01</t>
        </is>
      </c>
      <c r="B18" s="24" t="inlineStr">
        <is>
          <t>poweredOn</t>
        </is>
      </c>
      <c r="C18" s="24" t="inlineStr">
        <is>
          <t>green</t>
        </is>
      </c>
      <c r="D18" s="23" t="inlineStr">
        <is>
          <t>esxi-dev-03.lab</t>
        </is>
      </c>
      <c r="E18" s="23" t="inlineStr">
        <is>
          <t>DC-Nantes</t>
        </is>
      </c>
      <c r="F18" s="23" t="inlineStr">
        <is>
          <t>DEV-Cluster-01</t>
        </is>
      </c>
      <c r="G18" s="26" t="n">
        <v>200</v>
      </c>
      <c r="H18" s="26" t="n">
        <v>150</v>
      </c>
      <c r="I18" s="25" t="n">
        <v>0.15</v>
      </c>
      <c r="J18" s="26" t="n">
        <v>28000</v>
      </c>
      <c r="K18" s="26" t="n">
        <v>20000</v>
      </c>
      <c r="L18" s="23" t="n">
        <v>4</v>
      </c>
    </row>
    <row r="19" ht="18" customHeight="1">
      <c r="A19" s="23" t="inlineStr">
        <is>
          <t>vm-dr-01</t>
        </is>
      </c>
      <c r="B19" s="34" t="inlineStr">
        <is>
          <t>poweredOff</t>
        </is>
      </c>
      <c r="C19" s="24" t="inlineStr">
        <is>
          <t>green</t>
        </is>
      </c>
      <c r="D19" s="23" t="inlineStr">
        <is>
          <t>esxi-dr-01.lab</t>
        </is>
      </c>
      <c r="E19" s="23" t="inlineStr">
        <is>
          <t>DC-Lyon</t>
        </is>
      </c>
      <c r="F19" s="23" t="inlineStr">
        <is>
          <t>DR-Cluster-01</t>
        </is>
      </c>
      <c r="G19" s="26" t="n">
        <v>500</v>
      </c>
      <c r="H19" s="26" t="n">
        <v>480</v>
      </c>
      <c r="I19" s="25" t="n">
        <v>0</v>
      </c>
      <c r="J19" s="26" t="n">
        <v>0</v>
      </c>
      <c r="K19" s="26" t="n">
        <v>0</v>
      </c>
      <c r="L19" s="23" t="n">
        <v>8</v>
      </c>
    </row>
    <row r="20" ht="18" customHeight="1">
      <c r="A20" s="23" t="inlineStr">
        <is>
          <t>vm-dr-02</t>
        </is>
      </c>
      <c r="B20" s="34" t="inlineStr">
        <is>
          <t>poweredOff</t>
        </is>
      </c>
      <c r="C20" s="24" t="inlineStr">
        <is>
          <t>green</t>
        </is>
      </c>
      <c r="D20" s="23" t="inlineStr">
        <is>
          <t>esxi-dr-01.lab</t>
        </is>
      </c>
      <c r="E20" s="23" t="inlineStr">
        <is>
          <t>DC-Lyon</t>
        </is>
      </c>
      <c r="F20" s="23" t="inlineStr">
        <is>
          <t>DR-Cluster-01</t>
        </is>
      </c>
      <c r="G20" s="26" t="n">
        <v>300</v>
      </c>
      <c r="H20" s="26" t="n">
        <v>280</v>
      </c>
      <c r="I20" s="25" t="n">
        <v>0</v>
      </c>
      <c r="J20" s="26" t="n">
        <v>0</v>
      </c>
      <c r="K20" s="26" t="n">
        <v>0</v>
      </c>
      <c r="L20" s="23" t="n">
        <v>4</v>
      </c>
    </row>
    <row r="22">
      <c r="A22" s="35" t="inlineStr">
        <is>
          <t>💡  Tableau prévu pour 2000+ VMs. Coller vos données en A4. Host CPU doit être un nombre décimal (0.18 = 18%).</t>
        </is>
      </c>
    </row>
  </sheetData>
  <mergeCells count="3">
    <mergeCell ref="A2:M2"/>
    <mergeCell ref="A22:L2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R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50" customHeight="1">
      <c r="A1" s="1" t="inlineStr">
        <is>
          <t>📊  ANALYSE CAPACITÉ – COMPUTE (CPU &amp; RAM)</t>
        </is>
      </c>
    </row>
    <row r="2" ht="16" customHeight="1">
      <c r="A2" s="2" t="inlineStr">
        <is>
          <t>Alimenté automatiquement via tHosts  |  Entrer les noms de clusters dans les cellules bleues</t>
        </is>
      </c>
    </row>
    <row r="4" ht="20" customHeight="1">
      <c r="A4" s="3" t="inlineStr">
        <is>
          <t xml:space="preserve">  📊  INDICATEURS GLOBAUX COMPUTE</t>
        </is>
      </c>
    </row>
    <row r="5" ht="18" customHeight="1">
      <c r="A5" s="36" t="inlineStr">
        <is>
          <t>Hosts connectés</t>
        </is>
      </c>
      <c r="B5" s="11" t="n"/>
      <c r="D5" s="36" t="inlineStr">
        <is>
          <t>Total CPUs</t>
        </is>
      </c>
      <c r="E5" s="11" t="n"/>
      <c r="G5" s="37" t="inlineStr">
        <is>
          <t>CPU cons. moy.</t>
        </is>
      </c>
      <c r="H5" s="11" t="n"/>
      <c r="J5" s="38" t="inlineStr">
        <is>
          <t>CPU libre moy.</t>
        </is>
      </c>
      <c r="K5" s="11" t="n"/>
      <c r="M5" s="36" t="inlineStr">
        <is>
          <t>RAM Totale</t>
        </is>
      </c>
      <c r="N5" s="11" t="n"/>
      <c r="P5" s="39" t="inlineStr">
        <is>
          <t>Hosts alerte</t>
        </is>
      </c>
      <c r="Q5" s="11" t="n"/>
    </row>
    <row r="6" ht="40" customHeight="1">
      <c r="A6" s="40">
        <f>COUNTIF(tHosts[State],"connected")</f>
        <v/>
      </c>
      <c r="B6" s="11" t="n"/>
      <c r="D6" s="40">
        <f>SUMIF(tHosts[State],"connected",tHosts[CPUs])</f>
        <v/>
      </c>
      <c r="E6" s="11" t="n"/>
      <c r="G6" s="41">
        <f>IFERROR(AVERAGEIF(tHosts[State],"connected",tHosts[Consumed CPU %]),0)</f>
        <v/>
      </c>
      <c r="H6" s="11" t="n"/>
      <c r="J6" s="42">
        <f>IFERROR(AVERAGEIF(tHosts[State],"connected",tHosts[CPU Free %]),0)</f>
        <v/>
      </c>
      <c r="K6" s="11" t="n"/>
      <c r="M6" s="40">
        <f>IFERROR(ROUND(SUMIF(tHosts[State],"connected",tHosts[Memory Size (MB)])/1024,0),0)</f>
        <v/>
      </c>
      <c r="N6" s="11" t="n"/>
      <c r="P6" s="43">
        <f>COUNTIF(tHosts[Status],"yellow")+COUNTIF(tHosts[Status],"red")</f>
        <v/>
      </c>
      <c r="Q6" s="11" t="n"/>
    </row>
    <row r="7" ht="14" customHeight="1">
      <c r="A7" s="44" t="inlineStr">
        <is>
          <t>actifs</t>
        </is>
      </c>
      <c r="B7" s="11" t="n"/>
      <c r="D7" s="44" t="inlineStr">
        <is>
          <t>logiques</t>
        </is>
      </c>
      <c r="E7" s="11" t="n"/>
      <c r="G7" s="45" t="inlineStr">
        <is>
          <t>moy cluster</t>
        </is>
      </c>
      <c r="H7" s="11" t="n"/>
      <c r="J7" s="46" t="inlineStr">
        <is>
          <t>moy cluster</t>
        </is>
      </c>
      <c r="K7" s="11" t="n"/>
      <c r="M7" s="44" t="inlineStr">
        <is>
          <t>GB total</t>
        </is>
      </c>
      <c r="N7" s="11" t="n"/>
      <c r="P7" s="47" t="inlineStr">
        <is>
          <t>⚠️/🔴 statut</t>
        </is>
      </c>
      <c r="Q7" s="11" t="n"/>
    </row>
    <row r="9" ht="20" customHeight="1">
      <c r="A9" s="48" t="inlineStr">
        <is>
          <t xml:space="preserve">  📋  RÉSUMÉ PAR CLUSTER  ← Saisir les noms de clusters dans la colonne A (cellules bleues)</t>
        </is>
      </c>
    </row>
    <row r="10">
      <c r="A10" s="28" t="inlineStr">
        <is>
          <t>💡  Les formules utilisent les noms saisis pour agréger automatiquement les données de 🖥️ RAW_Hosts via le tableau tHosts.</t>
        </is>
      </c>
    </row>
    <row r="11" ht="24" customHeight="1">
      <c r="A11" s="4" t="inlineStr">
        <is>
          <t>Cluster (saisir)</t>
        </is>
      </c>
      <c r="B11" s="4" t="inlineStr">
        <is>
          <t>Datacenter</t>
        </is>
      </c>
      <c r="C11" s="4" t="inlineStr">
        <is>
          <t>Hosts</t>
        </is>
      </c>
      <c r="D11" s="4" t="inlineStr">
        <is>
          <t>Total CPUs</t>
        </is>
      </c>
      <c r="E11" s="4" t="inlineStr">
        <is>
          <t>CPU Cons. %</t>
        </is>
      </c>
      <c r="F11" s="4" t="inlineStr">
        <is>
          <t>CPU Libre %</t>
        </is>
      </c>
      <c r="G11" s="4" t="inlineStr">
        <is>
          <t>Statut CPU</t>
        </is>
      </c>
      <c r="H11" s="4" t="inlineStr">
        <is>
          <t>Cœurs libres</t>
        </is>
      </c>
      <c r="I11" s="4" t="inlineStr">
        <is>
          <t>RAM Tot.(GB)</t>
        </is>
      </c>
      <c r="J11" s="4" t="inlineStr">
        <is>
          <t>RAM Cons.(GB)</t>
        </is>
      </c>
      <c r="K11" s="4" t="inlineStr">
        <is>
          <t>RAM Libre %</t>
        </is>
      </c>
      <c r="L11" s="4" t="inlineStr">
        <is>
          <t>Statut RAM</t>
        </is>
      </c>
      <c r="M11" s="4" t="inlineStr">
        <is>
          <t>VMs</t>
        </is>
      </c>
      <c r="N11" s="4" t="inlineStr">
        <is>
          <t>Prov.Stg(GB)</t>
        </is>
      </c>
      <c r="O11" s="4" t="inlineStr">
        <is>
          <t>Alerte</t>
        </is>
      </c>
    </row>
    <row r="12" ht="19" customHeight="1">
      <c r="A12" s="9" t="inlineStr">
        <is>
          <t>PROD-Cluster-01</t>
        </is>
      </c>
      <c r="B12" s="49" t="inlineStr">
        <is>
          <t>DC-Paris</t>
        </is>
      </c>
      <c r="C12" s="50">
        <f>IF(A12="","",COUNTIF(tHosts[Cluster],A12))</f>
        <v/>
      </c>
      <c r="D12" s="50">
        <f>IF(A12="","",SUMIF(tHosts[Cluster],A12,tHosts[CPUs]))</f>
        <v/>
      </c>
      <c r="E12" s="51">
        <f>IF(A12="","",IFERROR(AVERAGEIF(tHosts[Cluster],A12,tHosts[Consumed CPU %]),0))</f>
        <v/>
      </c>
      <c r="F12" s="51">
        <f>IF(A12="","",IFERROR(AVERAGEIF(tHosts[Cluster],A12,tHosts[CPU Free %]),0))</f>
        <v/>
      </c>
      <c r="G12" s="52">
        <f>IF(A12="","",IF(F12&lt;0.2,"🔴 Critique",IF(F12&lt;0.3,"⚠️ Warning","✅ OK")))</f>
        <v/>
      </c>
      <c r="H12" s="50">
        <f>IF(A12="","",SUMIF(tHosts[Cluster],A12,tHosts[CPU free cores]))</f>
        <v/>
      </c>
      <c r="I12" s="50">
        <f>IF(A12="","",ROUND(SUMIF(tHosts[Cluster],A12,tHosts[Memory Size (MB)])/1024,0))</f>
        <v/>
      </c>
      <c r="J12" s="50">
        <f>IF(A12="","",ROUND(SUMIF(tHosts[Cluster],A12,tHosts[RAM])/1024,0))</f>
        <v/>
      </c>
      <c r="K12" s="51">
        <f>IF(A12="","",IFERROR(1-J12/I12,0))</f>
        <v/>
      </c>
      <c r="L12" s="52">
        <f>IF(A12="","",IF(K12&lt;0.2,"🔴 Critique",IF(K12&lt;0.3,"⚠️ Warning","✅ OK")))</f>
        <v/>
      </c>
      <c r="M12" s="50">
        <f>IF(A12="","",COUNTIF(tVMs[Cluster],A12))</f>
        <v/>
      </c>
      <c r="N12" s="50">
        <f>IF(A12="","",SUMIF(tVMs[Cluster],A12,tVMs[Provisioned Space]))</f>
        <v/>
      </c>
      <c r="O12" s="52">
        <f>IF(A12="","",IF(F12&lt;0.2,"🔴 CPU critique",IF(K12&lt;0.2,"🔴 RAM critique",IF(F12&lt;0.3,"⚠️ CPU warning",IF(K12&lt;0.3,"⚠️ RAM warning","✅ OK")))))</f>
        <v/>
      </c>
    </row>
    <row r="13" ht="19" customHeight="1">
      <c r="A13" s="9" t="inlineStr">
        <is>
          <t>PROD-Cluster-02</t>
        </is>
      </c>
      <c r="B13" s="49" t="inlineStr">
        <is>
          <t>DC-Paris</t>
        </is>
      </c>
      <c r="C13" s="53">
        <f>IF(A13="","",COUNTIF(tHosts[Cluster],A13))</f>
        <v/>
      </c>
      <c r="D13" s="53">
        <f>IF(A13="","",SUMIF(tHosts[Cluster],A13,tHosts[CPUs]))</f>
        <v/>
      </c>
      <c r="E13" s="54">
        <f>IF(A13="","",IFERROR(AVERAGEIF(tHosts[Cluster],A13,tHosts[Consumed CPU %]),0))</f>
        <v/>
      </c>
      <c r="F13" s="54">
        <f>IF(A13="","",IFERROR(AVERAGEIF(tHosts[Cluster],A13,tHosts[CPU Free %]),0))</f>
        <v/>
      </c>
      <c r="G13" s="55">
        <f>IF(A13="","",IF(F13&lt;0.2,"🔴 Critique",IF(F13&lt;0.3,"⚠️ Warning","✅ OK")))</f>
        <v/>
      </c>
      <c r="H13" s="53">
        <f>IF(A13="","",SUMIF(tHosts[Cluster],A13,tHosts[CPU free cores]))</f>
        <v/>
      </c>
      <c r="I13" s="53">
        <f>IF(A13="","",ROUND(SUMIF(tHosts[Cluster],A13,tHosts[Memory Size (MB)])/1024,0))</f>
        <v/>
      </c>
      <c r="J13" s="53">
        <f>IF(A13="","",ROUND(SUMIF(tHosts[Cluster],A13,tHosts[RAM])/1024,0))</f>
        <v/>
      </c>
      <c r="K13" s="54">
        <f>IF(A13="","",IFERROR(1-J13/I13,0))</f>
        <v/>
      </c>
      <c r="L13" s="55">
        <f>IF(A13="","",IF(K13&lt;0.2,"🔴 Critique",IF(K13&lt;0.3,"⚠️ Warning","✅ OK")))</f>
        <v/>
      </c>
      <c r="M13" s="53">
        <f>IF(A13="","",COUNTIF(tVMs[Cluster],A13))</f>
        <v/>
      </c>
      <c r="N13" s="53">
        <f>IF(A13="","",SUMIF(tVMs[Cluster],A13,tVMs[Provisioned Space]))</f>
        <v/>
      </c>
      <c r="O13" s="55">
        <f>IF(A13="","",IF(F13&lt;0.2,"🔴 CPU critique",IF(K13&lt;0.2,"🔴 RAM critique",IF(F13&lt;0.3,"⚠️ CPU warning",IF(K13&lt;0.3,"⚠️ RAM warning","✅ OK")))))</f>
        <v/>
      </c>
    </row>
    <row r="14" ht="19" customHeight="1">
      <c r="A14" s="9" t="inlineStr">
        <is>
          <t>DEV-Cluster-01</t>
        </is>
      </c>
      <c r="B14" s="49" t="inlineStr">
        <is>
          <t>DC-Nantes</t>
        </is>
      </c>
      <c r="C14" s="50">
        <f>IF(A14="","",COUNTIF(tHosts[Cluster],A14))</f>
        <v/>
      </c>
      <c r="D14" s="50">
        <f>IF(A14="","",SUMIF(tHosts[Cluster],A14,tHosts[CPUs]))</f>
        <v/>
      </c>
      <c r="E14" s="51">
        <f>IF(A14="","",IFERROR(AVERAGEIF(tHosts[Cluster],A14,tHosts[Consumed CPU %]),0))</f>
        <v/>
      </c>
      <c r="F14" s="51">
        <f>IF(A14="","",IFERROR(AVERAGEIF(tHosts[Cluster],A14,tHosts[CPU Free %]),0))</f>
        <v/>
      </c>
      <c r="G14" s="52">
        <f>IF(A14="","",IF(F14&lt;0.2,"🔴 Critique",IF(F14&lt;0.3,"⚠️ Warning","✅ OK")))</f>
        <v/>
      </c>
      <c r="H14" s="50">
        <f>IF(A14="","",SUMIF(tHosts[Cluster],A14,tHosts[CPU free cores]))</f>
        <v/>
      </c>
      <c r="I14" s="50">
        <f>IF(A14="","",ROUND(SUMIF(tHosts[Cluster],A14,tHosts[Memory Size (MB)])/1024,0))</f>
        <v/>
      </c>
      <c r="J14" s="50">
        <f>IF(A14="","",ROUND(SUMIF(tHosts[Cluster],A14,tHosts[RAM])/1024,0))</f>
        <v/>
      </c>
      <c r="K14" s="51">
        <f>IF(A14="","",IFERROR(1-J14/I14,0))</f>
        <v/>
      </c>
      <c r="L14" s="52">
        <f>IF(A14="","",IF(K14&lt;0.2,"🔴 Critique",IF(K14&lt;0.3,"⚠️ Warning","✅ OK")))</f>
        <v/>
      </c>
      <c r="M14" s="50">
        <f>IF(A14="","",COUNTIF(tVMs[Cluster],A14))</f>
        <v/>
      </c>
      <c r="N14" s="50">
        <f>IF(A14="","",SUMIF(tVMs[Cluster],A14,tVMs[Provisioned Space]))</f>
        <v/>
      </c>
      <c r="O14" s="52">
        <f>IF(A14="","",IF(F14&lt;0.2,"🔴 CPU critique",IF(K14&lt;0.2,"🔴 RAM critique",IF(F14&lt;0.3,"⚠️ CPU warning",IF(K14&lt;0.3,"⚠️ RAM warning","✅ OK")))))</f>
        <v/>
      </c>
    </row>
    <row r="15" ht="19" customHeight="1">
      <c r="A15" s="9" t="inlineStr">
        <is>
          <t>DR-Cluster-01</t>
        </is>
      </c>
      <c r="B15" s="49" t="inlineStr">
        <is>
          <t>DC-Lyon</t>
        </is>
      </c>
      <c r="C15" s="53">
        <f>IF(A15="","",COUNTIF(tHosts[Cluster],A15))</f>
        <v/>
      </c>
      <c r="D15" s="53">
        <f>IF(A15="","",SUMIF(tHosts[Cluster],A15,tHosts[CPUs]))</f>
        <v/>
      </c>
      <c r="E15" s="54">
        <f>IF(A15="","",IFERROR(AVERAGEIF(tHosts[Cluster],A15,tHosts[Consumed CPU %]),0))</f>
        <v/>
      </c>
      <c r="F15" s="54">
        <f>IF(A15="","",IFERROR(AVERAGEIF(tHosts[Cluster],A15,tHosts[CPU Free %]),0))</f>
        <v/>
      </c>
      <c r="G15" s="55">
        <f>IF(A15="","",IF(F15&lt;0.2,"🔴 Critique",IF(F15&lt;0.3,"⚠️ Warning","✅ OK")))</f>
        <v/>
      </c>
      <c r="H15" s="53">
        <f>IF(A15="","",SUMIF(tHosts[Cluster],A15,tHosts[CPU free cores]))</f>
        <v/>
      </c>
      <c r="I15" s="53">
        <f>IF(A15="","",ROUND(SUMIF(tHosts[Cluster],A15,tHosts[Memory Size (MB)])/1024,0))</f>
        <v/>
      </c>
      <c r="J15" s="53">
        <f>IF(A15="","",ROUND(SUMIF(tHosts[Cluster],A15,tHosts[RAM])/1024,0))</f>
        <v/>
      </c>
      <c r="K15" s="54">
        <f>IF(A15="","",IFERROR(1-J15/I15,0))</f>
        <v/>
      </c>
      <c r="L15" s="55">
        <f>IF(A15="","",IF(K15&lt;0.2,"🔴 Critique",IF(K15&lt;0.3,"⚠️ Warning","✅ OK")))</f>
        <v/>
      </c>
      <c r="M15" s="53">
        <f>IF(A15="","",COUNTIF(tVMs[Cluster],A15))</f>
        <v/>
      </c>
      <c r="N15" s="53">
        <f>IF(A15="","",SUMIF(tVMs[Cluster],A15,tVMs[Provisioned Space]))</f>
        <v/>
      </c>
      <c r="O15" s="55">
        <f>IF(A15="","",IF(F15&lt;0.2,"🔴 CPU critique",IF(K15&lt;0.2,"🔴 RAM critique",IF(F15&lt;0.3,"⚠️ CPU warning",IF(K15&lt;0.3,"⚠️ RAM warning","✅ OK")))))</f>
        <v/>
      </c>
    </row>
    <row r="16" ht="19" customHeight="1">
      <c r="A16" s="9" t="inlineStr"/>
      <c r="B16" s="49" t="inlineStr"/>
      <c r="C16" s="50">
        <f>IF(A16="","",COUNTIF(tHosts[Cluster],A16))</f>
        <v/>
      </c>
      <c r="D16" s="50">
        <f>IF(A16="","",SUMIF(tHosts[Cluster],A16,tHosts[CPUs]))</f>
        <v/>
      </c>
      <c r="E16" s="51">
        <f>IF(A16="","",IFERROR(AVERAGEIF(tHosts[Cluster],A16,tHosts[Consumed CPU %]),0))</f>
        <v/>
      </c>
      <c r="F16" s="51">
        <f>IF(A16="","",IFERROR(AVERAGEIF(tHosts[Cluster],A16,tHosts[CPU Free %]),0))</f>
        <v/>
      </c>
      <c r="G16" s="52">
        <f>IF(A16="","",IF(F16&lt;0.2,"🔴 Critique",IF(F16&lt;0.3,"⚠️ Warning","✅ OK")))</f>
        <v/>
      </c>
      <c r="H16" s="50">
        <f>IF(A16="","",SUMIF(tHosts[Cluster],A16,tHosts[CPU free cores]))</f>
        <v/>
      </c>
      <c r="I16" s="50">
        <f>IF(A16="","",ROUND(SUMIF(tHosts[Cluster],A16,tHosts[Memory Size (MB)])/1024,0))</f>
        <v/>
      </c>
      <c r="J16" s="50">
        <f>IF(A16="","",ROUND(SUMIF(tHosts[Cluster],A16,tHosts[RAM])/1024,0))</f>
        <v/>
      </c>
      <c r="K16" s="51">
        <f>IF(A16="","",IFERROR(1-J16/I16,0))</f>
        <v/>
      </c>
      <c r="L16" s="52">
        <f>IF(A16="","",IF(K16&lt;0.2,"🔴 Critique",IF(K16&lt;0.3,"⚠️ Warning","✅ OK")))</f>
        <v/>
      </c>
      <c r="M16" s="50">
        <f>IF(A16="","",COUNTIF(tVMs[Cluster],A16))</f>
        <v/>
      </c>
      <c r="N16" s="50">
        <f>IF(A16="","",SUMIF(tVMs[Cluster],A16,tVMs[Provisioned Space]))</f>
        <v/>
      </c>
      <c r="O16" s="52">
        <f>IF(A16="","",IF(F16&lt;0.2,"🔴 CPU critique",IF(K16&lt;0.2,"🔴 RAM critique",IF(F16&lt;0.3,"⚠️ CPU warning",IF(K16&lt;0.3,"⚠️ RAM warning","✅ OK")))))</f>
        <v/>
      </c>
    </row>
    <row r="17" ht="19" customHeight="1">
      <c r="A17" s="9" t="inlineStr"/>
      <c r="B17" s="49" t="inlineStr"/>
      <c r="C17" s="53">
        <f>IF(A17="","",COUNTIF(tHosts[Cluster],A17))</f>
        <v/>
      </c>
      <c r="D17" s="53">
        <f>IF(A17="","",SUMIF(tHosts[Cluster],A17,tHosts[CPUs]))</f>
        <v/>
      </c>
      <c r="E17" s="54">
        <f>IF(A17="","",IFERROR(AVERAGEIF(tHosts[Cluster],A17,tHosts[Consumed CPU %]),0))</f>
        <v/>
      </c>
      <c r="F17" s="54">
        <f>IF(A17="","",IFERROR(AVERAGEIF(tHosts[Cluster],A17,tHosts[CPU Free %]),0))</f>
        <v/>
      </c>
      <c r="G17" s="55">
        <f>IF(A17="","",IF(F17&lt;0.2,"🔴 Critique",IF(F17&lt;0.3,"⚠️ Warning","✅ OK")))</f>
        <v/>
      </c>
      <c r="H17" s="53">
        <f>IF(A17="","",SUMIF(tHosts[Cluster],A17,tHosts[CPU free cores]))</f>
        <v/>
      </c>
      <c r="I17" s="53">
        <f>IF(A17="","",ROUND(SUMIF(tHosts[Cluster],A17,tHosts[Memory Size (MB)])/1024,0))</f>
        <v/>
      </c>
      <c r="J17" s="53">
        <f>IF(A17="","",ROUND(SUMIF(tHosts[Cluster],A17,tHosts[RAM])/1024,0))</f>
        <v/>
      </c>
      <c r="K17" s="54">
        <f>IF(A17="","",IFERROR(1-J17/I17,0))</f>
        <v/>
      </c>
      <c r="L17" s="55">
        <f>IF(A17="","",IF(K17&lt;0.2,"🔴 Critique",IF(K17&lt;0.3,"⚠️ Warning","✅ OK")))</f>
        <v/>
      </c>
      <c r="M17" s="53">
        <f>IF(A17="","",COUNTIF(tVMs[Cluster],A17))</f>
        <v/>
      </c>
      <c r="N17" s="53">
        <f>IF(A17="","",SUMIF(tVMs[Cluster],A17,tVMs[Provisioned Space]))</f>
        <v/>
      </c>
      <c r="O17" s="55">
        <f>IF(A17="","",IF(F17&lt;0.2,"🔴 CPU critique",IF(K17&lt;0.2,"🔴 RAM critique",IF(F17&lt;0.3,"⚠️ CPU warning",IF(K17&lt;0.3,"⚠️ RAM warning","✅ OK")))))</f>
        <v/>
      </c>
    </row>
    <row r="18" ht="19" customHeight="1">
      <c r="A18" s="9" t="inlineStr"/>
      <c r="B18" s="49" t="inlineStr"/>
      <c r="C18" s="50">
        <f>IF(A18="","",COUNTIF(tHosts[Cluster],A18))</f>
        <v/>
      </c>
      <c r="D18" s="50">
        <f>IF(A18="","",SUMIF(tHosts[Cluster],A18,tHosts[CPUs]))</f>
        <v/>
      </c>
      <c r="E18" s="51">
        <f>IF(A18="","",IFERROR(AVERAGEIF(tHosts[Cluster],A18,tHosts[Consumed CPU %]),0))</f>
        <v/>
      </c>
      <c r="F18" s="51">
        <f>IF(A18="","",IFERROR(AVERAGEIF(tHosts[Cluster],A18,tHosts[CPU Free %]),0))</f>
        <v/>
      </c>
      <c r="G18" s="52">
        <f>IF(A18="","",IF(F18&lt;0.2,"🔴 Critique",IF(F18&lt;0.3,"⚠️ Warning","✅ OK")))</f>
        <v/>
      </c>
      <c r="H18" s="50">
        <f>IF(A18="","",SUMIF(tHosts[Cluster],A18,tHosts[CPU free cores]))</f>
        <v/>
      </c>
      <c r="I18" s="50">
        <f>IF(A18="","",ROUND(SUMIF(tHosts[Cluster],A18,tHosts[Memory Size (MB)])/1024,0))</f>
        <v/>
      </c>
      <c r="J18" s="50">
        <f>IF(A18="","",ROUND(SUMIF(tHosts[Cluster],A18,tHosts[RAM])/1024,0))</f>
        <v/>
      </c>
      <c r="K18" s="51">
        <f>IF(A18="","",IFERROR(1-J18/I18,0))</f>
        <v/>
      </c>
      <c r="L18" s="52">
        <f>IF(A18="","",IF(K18&lt;0.2,"🔴 Critique",IF(K18&lt;0.3,"⚠️ Warning","✅ OK")))</f>
        <v/>
      </c>
      <c r="M18" s="50">
        <f>IF(A18="","",COUNTIF(tVMs[Cluster],A18))</f>
        <v/>
      </c>
      <c r="N18" s="50">
        <f>IF(A18="","",SUMIF(tVMs[Cluster],A18,tVMs[Provisioned Space]))</f>
        <v/>
      </c>
      <c r="O18" s="52">
        <f>IF(A18="","",IF(F18&lt;0.2,"🔴 CPU critique",IF(K18&lt;0.2,"🔴 RAM critique",IF(F18&lt;0.3,"⚠️ CPU warning",IF(K18&lt;0.3,"⚠️ RAM warning","✅ OK")))))</f>
        <v/>
      </c>
    </row>
    <row r="19" ht="19" customHeight="1">
      <c r="A19" s="9" t="inlineStr"/>
      <c r="B19" s="49" t="inlineStr"/>
      <c r="C19" s="53">
        <f>IF(A19="","",COUNTIF(tHosts[Cluster],A19))</f>
        <v/>
      </c>
      <c r="D19" s="53">
        <f>IF(A19="","",SUMIF(tHosts[Cluster],A19,tHosts[CPUs]))</f>
        <v/>
      </c>
      <c r="E19" s="54">
        <f>IF(A19="","",IFERROR(AVERAGEIF(tHosts[Cluster],A19,tHosts[Consumed CPU %]),0))</f>
        <v/>
      </c>
      <c r="F19" s="54">
        <f>IF(A19="","",IFERROR(AVERAGEIF(tHosts[Cluster],A19,tHosts[CPU Free %]),0))</f>
        <v/>
      </c>
      <c r="G19" s="55">
        <f>IF(A19="","",IF(F19&lt;0.2,"🔴 Critique",IF(F19&lt;0.3,"⚠️ Warning","✅ OK")))</f>
        <v/>
      </c>
      <c r="H19" s="53">
        <f>IF(A19="","",SUMIF(tHosts[Cluster],A19,tHosts[CPU free cores]))</f>
        <v/>
      </c>
      <c r="I19" s="53">
        <f>IF(A19="","",ROUND(SUMIF(tHosts[Cluster],A19,tHosts[Memory Size (MB)])/1024,0))</f>
        <v/>
      </c>
      <c r="J19" s="53">
        <f>IF(A19="","",ROUND(SUMIF(tHosts[Cluster],A19,tHosts[RAM])/1024,0))</f>
        <v/>
      </c>
      <c r="K19" s="54">
        <f>IF(A19="","",IFERROR(1-J19/I19,0))</f>
        <v/>
      </c>
      <c r="L19" s="55">
        <f>IF(A19="","",IF(K19&lt;0.2,"🔴 Critique",IF(K19&lt;0.3,"⚠️ Warning","✅ OK")))</f>
        <v/>
      </c>
      <c r="M19" s="53">
        <f>IF(A19="","",COUNTIF(tVMs[Cluster],A19))</f>
        <v/>
      </c>
      <c r="N19" s="53">
        <f>IF(A19="","",SUMIF(tVMs[Cluster],A19,tVMs[Provisioned Space]))</f>
        <v/>
      </c>
      <c r="O19" s="55">
        <f>IF(A19="","",IF(F19&lt;0.2,"🔴 CPU critique",IF(K19&lt;0.2,"🔴 RAM critique",IF(F19&lt;0.3,"⚠️ CPU warning",IF(K19&lt;0.3,"⚠️ RAM warning","✅ OK")))))</f>
        <v/>
      </c>
    </row>
    <row r="20" ht="19" customHeight="1">
      <c r="A20" s="9" t="inlineStr"/>
      <c r="B20" s="49" t="inlineStr"/>
      <c r="C20" s="50">
        <f>IF(A20="","",COUNTIF(tHosts[Cluster],A20))</f>
        <v/>
      </c>
      <c r="D20" s="50">
        <f>IF(A20="","",SUMIF(tHosts[Cluster],A20,tHosts[CPUs]))</f>
        <v/>
      </c>
      <c r="E20" s="51">
        <f>IF(A20="","",IFERROR(AVERAGEIF(tHosts[Cluster],A20,tHosts[Consumed CPU %]),0))</f>
        <v/>
      </c>
      <c r="F20" s="51">
        <f>IF(A20="","",IFERROR(AVERAGEIF(tHosts[Cluster],A20,tHosts[CPU Free %]),0))</f>
        <v/>
      </c>
      <c r="G20" s="52">
        <f>IF(A20="","",IF(F20&lt;0.2,"🔴 Critique",IF(F20&lt;0.3,"⚠️ Warning","✅ OK")))</f>
        <v/>
      </c>
      <c r="H20" s="50">
        <f>IF(A20="","",SUMIF(tHosts[Cluster],A20,tHosts[CPU free cores]))</f>
        <v/>
      </c>
      <c r="I20" s="50">
        <f>IF(A20="","",ROUND(SUMIF(tHosts[Cluster],A20,tHosts[Memory Size (MB)])/1024,0))</f>
        <v/>
      </c>
      <c r="J20" s="50">
        <f>IF(A20="","",ROUND(SUMIF(tHosts[Cluster],A20,tHosts[RAM])/1024,0))</f>
        <v/>
      </c>
      <c r="K20" s="51">
        <f>IF(A20="","",IFERROR(1-J20/I20,0))</f>
        <v/>
      </c>
      <c r="L20" s="52">
        <f>IF(A20="","",IF(K20&lt;0.2,"🔴 Critique",IF(K20&lt;0.3,"⚠️ Warning","✅ OK")))</f>
        <v/>
      </c>
      <c r="M20" s="50">
        <f>IF(A20="","",COUNTIF(tVMs[Cluster],A20))</f>
        <v/>
      </c>
      <c r="N20" s="50">
        <f>IF(A20="","",SUMIF(tVMs[Cluster],A20,tVMs[Provisioned Space]))</f>
        <v/>
      </c>
      <c r="O20" s="52">
        <f>IF(A20="","",IF(F20&lt;0.2,"🔴 CPU critique",IF(K20&lt;0.2,"🔴 RAM critique",IF(F20&lt;0.3,"⚠️ CPU warning",IF(K20&lt;0.3,"⚠️ RAM warning","✅ OK")))))</f>
        <v/>
      </c>
    </row>
    <row r="21" ht="19" customHeight="1">
      <c r="A21" s="9" t="inlineStr"/>
      <c r="B21" s="49" t="inlineStr"/>
      <c r="C21" s="53">
        <f>IF(A21="","",COUNTIF(tHosts[Cluster],A21))</f>
        <v/>
      </c>
      <c r="D21" s="53">
        <f>IF(A21="","",SUMIF(tHosts[Cluster],A21,tHosts[CPUs]))</f>
        <v/>
      </c>
      <c r="E21" s="54">
        <f>IF(A21="","",IFERROR(AVERAGEIF(tHosts[Cluster],A21,tHosts[Consumed CPU %]),0))</f>
        <v/>
      </c>
      <c r="F21" s="54">
        <f>IF(A21="","",IFERROR(AVERAGEIF(tHosts[Cluster],A21,tHosts[CPU Free %]),0))</f>
        <v/>
      </c>
      <c r="G21" s="55">
        <f>IF(A21="","",IF(F21&lt;0.2,"🔴 Critique",IF(F21&lt;0.3,"⚠️ Warning","✅ OK")))</f>
        <v/>
      </c>
      <c r="H21" s="53">
        <f>IF(A21="","",SUMIF(tHosts[Cluster],A21,tHosts[CPU free cores]))</f>
        <v/>
      </c>
      <c r="I21" s="53">
        <f>IF(A21="","",ROUND(SUMIF(tHosts[Cluster],A21,tHosts[Memory Size (MB)])/1024,0))</f>
        <v/>
      </c>
      <c r="J21" s="53">
        <f>IF(A21="","",ROUND(SUMIF(tHosts[Cluster],A21,tHosts[RAM])/1024,0))</f>
        <v/>
      </c>
      <c r="K21" s="54">
        <f>IF(A21="","",IFERROR(1-J21/I21,0))</f>
        <v/>
      </c>
      <c r="L21" s="55">
        <f>IF(A21="","",IF(K21&lt;0.2,"🔴 Critique",IF(K21&lt;0.3,"⚠️ Warning","✅ OK")))</f>
        <v/>
      </c>
      <c r="M21" s="53">
        <f>IF(A21="","",COUNTIF(tVMs[Cluster],A21))</f>
        <v/>
      </c>
      <c r="N21" s="53">
        <f>IF(A21="","",SUMIF(tVMs[Cluster],A21,tVMs[Provisioned Space]))</f>
        <v/>
      </c>
      <c r="O21" s="55">
        <f>IF(A21="","",IF(F21&lt;0.2,"🔴 CPU critique",IF(K21&lt;0.2,"🔴 RAM critique",IF(F21&lt;0.3,"⚠️ CPU warning",IF(K21&lt;0.3,"⚠️ RAM warning","✅ OK")))))</f>
        <v/>
      </c>
    </row>
    <row r="22" ht="22" customHeight="1">
      <c r="A22" s="56" t="inlineStr">
        <is>
          <t>TOTAUX</t>
        </is>
      </c>
      <c r="B22" s="56" t="n"/>
      <c r="C22" s="57">
        <f>SUM(C12:C21)</f>
        <v/>
      </c>
      <c r="D22" s="57">
        <f>SUM(D12:D21)</f>
        <v/>
      </c>
      <c r="E22" s="56" t="n"/>
      <c r="F22" s="56" t="n"/>
      <c r="G22" s="56" t="n"/>
      <c r="H22" s="57">
        <f>SUM(H12:H21)</f>
        <v/>
      </c>
      <c r="I22" s="57">
        <f>SUM(I12:I21)</f>
        <v/>
      </c>
      <c r="J22" s="57">
        <f>SUM(J12:J21)</f>
        <v/>
      </c>
      <c r="K22" s="56" t="n"/>
      <c r="L22" s="56" t="n"/>
      <c r="M22" s="57">
        <f>SUM(M12:M21)</f>
        <v/>
      </c>
      <c r="N22" s="57">
        <f>SUM(N12:N21)</f>
        <v/>
      </c>
      <c r="O22" s="56" t="n"/>
    </row>
    <row r="24" ht="20" customHeight="1">
      <c r="A24" s="48" t="inlineStr">
        <is>
          <t xml:space="preserve">  📈  GRAPHIQUES PAR CLUSTER</t>
        </is>
      </c>
    </row>
  </sheetData>
  <mergeCells count="24">
    <mergeCell ref="A9:Q9"/>
    <mergeCell ref="J5:K5"/>
    <mergeCell ref="A24:Q24"/>
    <mergeCell ref="M5:N5"/>
    <mergeCell ref="A6:B6"/>
    <mergeCell ref="D6:E6"/>
    <mergeCell ref="A7:B7"/>
    <mergeCell ref="G7:H7"/>
    <mergeCell ref="J6:K6"/>
    <mergeCell ref="A2:R2"/>
    <mergeCell ref="P6:Q6"/>
    <mergeCell ref="G6:H6"/>
    <mergeCell ref="M7:N7"/>
    <mergeCell ref="D7:E7"/>
    <mergeCell ref="M6:N6"/>
    <mergeCell ref="P7:Q7"/>
    <mergeCell ref="A10:R10"/>
    <mergeCell ref="J7:K7"/>
    <mergeCell ref="A5:B5"/>
    <mergeCell ref="G5:H5"/>
    <mergeCell ref="A4:Q4"/>
    <mergeCell ref="D5:E5"/>
    <mergeCell ref="A1:R1"/>
    <mergeCell ref="P5:Q5"/>
  </mergeCells>
  <conditionalFormatting sqref="E12:E21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K12:K21">
    <cfRule type="colorScale" priority="2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50" customHeight="1">
      <c r="A1" s="1" t="inlineStr">
        <is>
          <t>💽  ANALYSE CAPACITÉ – STOCKAGE</t>
        </is>
      </c>
    </row>
    <row r="2" ht="16" customHeight="1">
      <c r="A2" s="2" t="inlineStr">
        <is>
          <t>Alimenté automatiquement via tDatastores  |  Entrer les noms de clusters dans les cellules bleues</t>
        </is>
      </c>
    </row>
    <row r="4" ht="20" customHeight="1">
      <c r="A4" s="3" t="inlineStr">
        <is>
          <t xml:space="preserve">  📊  INDICATEURS GLOBAUX STOCKAGE</t>
        </is>
      </c>
    </row>
    <row r="5" ht="18" customHeight="1">
      <c r="A5" s="36" t="inlineStr">
        <is>
          <t>Cap. Totale (TB)</t>
        </is>
      </c>
      <c r="B5" s="11" t="n"/>
      <c r="D5" s="36" t="inlineStr">
        <is>
          <t>Cap. Totale (GB)</t>
        </is>
      </c>
      <c r="E5" s="11" t="n"/>
      <c r="G5" s="38" t="inlineStr">
        <is>
          <t>Espace Libre (GB)</t>
        </is>
      </c>
      <c r="H5" s="11" t="n"/>
      <c r="J5" s="37" t="inlineStr">
        <is>
          <t>Usage Global</t>
        </is>
      </c>
      <c r="K5" s="11" t="n"/>
      <c r="M5" s="39" t="inlineStr">
        <is>
          <t>DS critiques</t>
        </is>
      </c>
      <c r="N5" s="11" t="n"/>
    </row>
    <row r="6" ht="40" customHeight="1">
      <c r="A6" s="58">
        <f>IFERROR(ROUND(SUM(tDatastores[Capacity TB]),1),0)</f>
        <v/>
      </c>
      <c r="B6" s="11" t="n"/>
      <c r="D6" s="40">
        <f>IFERROR(ROUND(SUM(tDatastores[Capacity]),0),0)</f>
        <v/>
      </c>
      <c r="E6" s="11" t="n"/>
      <c r="G6" s="59">
        <f>IFERROR(ROUND(SUM(tDatastores[Free]),0),0)</f>
        <v/>
      </c>
      <c r="H6" s="11" t="n"/>
      <c r="J6" s="41">
        <f>IFERROR(1-SUM(tDatastores[Free])/SUM(tDatastores[Capacity]),0)</f>
        <v/>
      </c>
      <c r="K6" s="11" t="n"/>
      <c r="M6" s="43">
        <f>COUNTIF(tDatastores[Status],"red")+COUNTIF(tDatastores[Status],"yellow")</f>
        <v/>
      </c>
      <c r="N6" s="11" t="n"/>
    </row>
    <row r="7" ht="14" customHeight="1">
      <c r="A7" s="44" t="inlineStr">
        <is>
          <t>TB total</t>
        </is>
      </c>
      <c r="B7" s="11" t="n"/>
      <c r="D7" s="44" t="inlineStr">
        <is>
          <t>GB total</t>
        </is>
      </c>
      <c r="E7" s="11" t="n"/>
      <c r="G7" s="46" t="inlineStr">
        <is>
          <t>GB libres</t>
        </is>
      </c>
      <c r="H7" s="11" t="n"/>
      <c r="J7" s="45" t="inlineStr">
        <is>
          <t>% utilisé</t>
        </is>
      </c>
      <c r="K7" s="11" t="n"/>
      <c r="M7" s="47" t="inlineStr">
        <is>
          <t>⚠️/🔴</t>
        </is>
      </c>
      <c r="N7" s="11" t="n"/>
    </row>
    <row r="9" ht="20" customHeight="1">
      <c r="A9" s="60" t="inlineStr">
        <is>
          <t xml:space="preserve">  📋  RÉSUMÉ PAR CLUSTER  ← Saisir les noms de clusters dans la colonne A</t>
        </is>
      </c>
    </row>
    <row r="10">
      <c r="A10" s="32" t="inlineStr">
        <is>
          <t>💡  Saisir le même nom que dans tDatastores[Cluster]. Les agrégations sont automatiques.</t>
        </is>
      </c>
    </row>
    <row r="11" ht="24" customHeight="1">
      <c r="A11" s="29" t="inlineStr">
        <is>
          <t>Cluster (saisir)</t>
        </is>
      </c>
      <c r="B11" s="29" t="inlineStr">
        <is>
          <t>Type filtre</t>
        </is>
      </c>
      <c r="C11" s="29" t="inlineStr">
        <is>
          <t>Cap.(TB)</t>
        </is>
      </c>
      <c r="D11" s="29" t="inlineStr">
        <is>
          <t>Cap.(GB)</t>
        </is>
      </c>
      <c r="E11" s="29" t="inlineStr">
        <is>
          <t>Libre (GB)</t>
        </is>
      </c>
      <c r="F11" s="29" t="inlineStr">
        <is>
          <t>Utilisé (GB)</t>
        </is>
      </c>
      <c r="G11" s="29" t="inlineStr">
        <is>
          <t>Usage %</t>
        </is>
      </c>
      <c r="H11" s="29" t="inlineStr">
        <is>
          <t>Statut</t>
        </is>
      </c>
      <c r="I11" s="29" t="inlineStr">
        <is>
          <t>DS count</t>
        </is>
      </c>
      <c r="J11" s="29" t="inlineStr">
        <is>
          <t>DS critiques</t>
        </is>
      </c>
      <c r="K11" s="29" t="inlineStr">
        <is>
          <t>Alerte</t>
        </is>
      </c>
    </row>
    <row r="12" ht="19" customHeight="1">
      <c r="A12" s="9" t="inlineStr">
        <is>
          <t>PROD-Cluster-01</t>
        </is>
      </c>
      <c r="B12" s="49" t="inlineStr"/>
      <c r="C12" s="61">
        <f>IF(A12="","",IFERROR(SUMIF(tDatastores[Cluster],A12,tDatastores[Capacity TB]),0))</f>
        <v/>
      </c>
      <c r="D12" s="50">
        <f>IF(A12="","",IFERROR(SUMIF(tDatastores[Cluster],A12,tDatastores[Capacity]),0))</f>
        <v/>
      </c>
      <c r="E12" s="50">
        <f>IF(A12="","",IFERROR(SUMIF(tDatastores[Cluster],A12,tDatastores[Free]),0))</f>
        <v/>
      </c>
      <c r="F12" s="50">
        <f>IF(A12="","",IFERROR(D12-E12,0))</f>
        <v/>
      </c>
      <c r="G12" s="51">
        <f>IF(A12="","",IFERROR(F12/D12,0))</f>
        <v/>
      </c>
      <c r="H12" s="52">
        <f>IF(A12="","",IF(G12&lt;0.7,"✅ OK",IF(G12&lt;0.85,"⚠️ Warning","🔴 Critique")))</f>
        <v/>
      </c>
      <c r="I12" s="50">
        <f>IF(A12="","",COUNTIF(tDatastores[Cluster],A12))</f>
        <v/>
      </c>
      <c r="J12" s="50">
        <f>IF(A12="","",COUNTIFS(tDatastores[Cluster],A12,tDatastores[Status],"red")+COUNTIFS(tDatastores[Cluster],A12,tDatastores[Status],"yellow"))</f>
        <v/>
      </c>
      <c r="K12" s="52">
        <f>IF(A12="","",IF(G12&gt;0.9,"🔴 Critique",IF(G12&gt;0.8,"⚠️ Warning","✅ OK")))</f>
        <v/>
      </c>
    </row>
    <row r="13" ht="19" customHeight="1">
      <c r="A13" s="9" t="inlineStr">
        <is>
          <t>PROD-Cluster-02</t>
        </is>
      </c>
      <c r="B13" s="49" t="inlineStr"/>
      <c r="C13" s="62">
        <f>IF(A13="","",IFERROR(SUMIF(tDatastores[Cluster],A13,tDatastores[Capacity TB]),0))</f>
        <v/>
      </c>
      <c r="D13" s="53">
        <f>IF(A13="","",IFERROR(SUMIF(tDatastores[Cluster],A13,tDatastores[Capacity]),0))</f>
        <v/>
      </c>
      <c r="E13" s="53">
        <f>IF(A13="","",IFERROR(SUMIF(tDatastores[Cluster],A13,tDatastores[Free]),0))</f>
        <v/>
      </c>
      <c r="F13" s="53">
        <f>IF(A13="","",IFERROR(D13-E13,0))</f>
        <v/>
      </c>
      <c r="G13" s="54">
        <f>IF(A13="","",IFERROR(F13/D13,0))</f>
        <v/>
      </c>
      <c r="H13" s="55">
        <f>IF(A13="","",IF(G13&lt;0.7,"✅ OK",IF(G13&lt;0.85,"⚠️ Warning","🔴 Critique")))</f>
        <v/>
      </c>
      <c r="I13" s="53">
        <f>IF(A13="","",COUNTIF(tDatastores[Cluster],A13))</f>
        <v/>
      </c>
      <c r="J13" s="53">
        <f>IF(A13="","",COUNTIFS(tDatastores[Cluster],A13,tDatastores[Status],"red")+COUNTIFS(tDatastores[Cluster],A13,tDatastores[Status],"yellow"))</f>
        <v/>
      </c>
      <c r="K13" s="55">
        <f>IF(A13="","",IF(G13&gt;0.9,"🔴 Critique",IF(G13&gt;0.8,"⚠️ Warning","✅ OK")))</f>
        <v/>
      </c>
    </row>
    <row r="14" ht="19" customHeight="1">
      <c r="A14" s="9" t="inlineStr">
        <is>
          <t>DEV-Cluster-01</t>
        </is>
      </c>
      <c r="B14" s="49" t="inlineStr"/>
      <c r="C14" s="61">
        <f>IF(A14="","",IFERROR(SUMIF(tDatastores[Cluster],A14,tDatastores[Capacity TB]),0))</f>
        <v/>
      </c>
      <c r="D14" s="50">
        <f>IF(A14="","",IFERROR(SUMIF(tDatastores[Cluster],A14,tDatastores[Capacity]),0))</f>
        <v/>
      </c>
      <c r="E14" s="50">
        <f>IF(A14="","",IFERROR(SUMIF(tDatastores[Cluster],A14,tDatastores[Free]),0))</f>
        <v/>
      </c>
      <c r="F14" s="50">
        <f>IF(A14="","",IFERROR(D14-E14,0))</f>
        <v/>
      </c>
      <c r="G14" s="51">
        <f>IF(A14="","",IFERROR(F14/D14,0))</f>
        <v/>
      </c>
      <c r="H14" s="52">
        <f>IF(A14="","",IF(G14&lt;0.7,"✅ OK",IF(G14&lt;0.85,"⚠️ Warning","🔴 Critique")))</f>
        <v/>
      </c>
      <c r="I14" s="50">
        <f>IF(A14="","",COUNTIF(tDatastores[Cluster],A14))</f>
        <v/>
      </c>
      <c r="J14" s="50">
        <f>IF(A14="","",COUNTIFS(tDatastores[Cluster],A14,tDatastores[Status],"red")+COUNTIFS(tDatastores[Cluster],A14,tDatastores[Status],"yellow"))</f>
        <v/>
      </c>
      <c r="K14" s="52">
        <f>IF(A14="","",IF(G14&gt;0.9,"🔴 Critique",IF(G14&gt;0.8,"⚠️ Warning","✅ OK")))</f>
        <v/>
      </c>
    </row>
    <row r="15" ht="19" customHeight="1">
      <c r="A15" s="9" t="inlineStr">
        <is>
          <t>DR-Cluster-01</t>
        </is>
      </c>
      <c r="B15" s="49" t="inlineStr"/>
      <c r="C15" s="62">
        <f>IF(A15="","",IFERROR(SUMIF(tDatastores[Cluster],A15,tDatastores[Capacity TB]),0))</f>
        <v/>
      </c>
      <c r="D15" s="53">
        <f>IF(A15="","",IFERROR(SUMIF(tDatastores[Cluster],A15,tDatastores[Capacity]),0))</f>
        <v/>
      </c>
      <c r="E15" s="53">
        <f>IF(A15="","",IFERROR(SUMIF(tDatastores[Cluster],A15,tDatastores[Free]),0))</f>
        <v/>
      </c>
      <c r="F15" s="53">
        <f>IF(A15="","",IFERROR(D15-E15,0))</f>
        <v/>
      </c>
      <c r="G15" s="54">
        <f>IF(A15="","",IFERROR(F15/D15,0))</f>
        <v/>
      </c>
      <c r="H15" s="55">
        <f>IF(A15="","",IF(G15&lt;0.7,"✅ OK",IF(G15&lt;0.85,"⚠️ Warning","🔴 Critique")))</f>
        <v/>
      </c>
      <c r="I15" s="53">
        <f>IF(A15="","",COUNTIF(tDatastores[Cluster],A15))</f>
        <v/>
      </c>
      <c r="J15" s="53">
        <f>IF(A15="","",COUNTIFS(tDatastores[Cluster],A15,tDatastores[Status],"red")+COUNTIFS(tDatastores[Cluster],A15,tDatastores[Status],"yellow"))</f>
        <v/>
      </c>
      <c r="K15" s="55">
        <f>IF(A15="","",IF(G15&gt;0.9,"🔴 Critique",IF(G15&gt;0.8,"⚠️ Warning","✅ OK")))</f>
        <v/>
      </c>
    </row>
    <row r="16" ht="19" customHeight="1">
      <c r="A16" s="9" t="inlineStr"/>
      <c r="B16" s="49" t="inlineStr"/>
      <c r="C16" s="61">
        <f>IF(A16="","",IFERROR(SUMIF(tDatastores[Cluster],A16,tDatastores[Capacity TB]),0))</f>
        <v/>
      </c>
      <c r="D16" s="50">
        <f>IF(A16="","",IFERROR(SUMIF(tDatastores[Cluster],A16,tDatastores[Capacity]),0))</f>
        <v/>
      </c>
      <c r="E16" s="50">
        <f>IF(A16="","",IFERROR(SUMIF(tDatastores[Cluster],A16,tDatastores[Free]),0))</f>
        <v/>
      </c>
      <c r="F16" s="50">
        <f>IF(A16="","",IFERROR(D16-E16,0))</f>
        <v/>
      </c>
      <c r="G16" s="51">
        <f>IF(A16="","",IFERROR(F16/D16,0))</f>
        <v/>
      </c>
      <c r="H16" s="52">
        <f>IF(A16="","",IF(G16&lt;0.7,"✅ OK",IF(G16&lt;0.85,"⚠️ Warning","🔴 Critique")))</f>
        <v/>
      </c>
      <c r="I16" s="50">
        <f>IF(A16="","",COUNTIF(tDatastores[Cluster],A16))</f>
        <v/>
      </c>
      <c r="J16" s="50">
        <f>IF(A16="","",COUNTIFS(tDatastores[Cluster],A16,tDatastores[Status],"red")+COUNTIFS(tDatastores[Cluster],A16,tDatastores[Status],"yellow"))</f>
        <v/>
      </c>
      <c r="K16" s="52">
        <f>IF(A16="","",IF(G16&gt;0.9,"🔴 Critique",IF(G16&gt;0.8,"⚠️ Warning","✅ OK")))</f>
        <v/>
      </c>
    </row>
    <row r="17" ht="19" customHeight="1">
      <c r="A17" s="9" t="inlineStr"/>
      <c r="B17" s="49" t="inlineStr"/>
      <c r="C17" s="62">
        <f>IF(A17="","",IFERROR(SUMIF(tDatastores[Cluster],A17,tDatastores[Capacity TB]),0))</f>
        <v/>
      </c>
      <c r="D17" s="53">
        <f>IF(A17="","",IFERROR(SUMIF(tDatastores[Cluster],A17,tDatastores[Capacity]),0))</f>
        <v/>
      </c>
      <c r="E17" s="53">
        <f>IF(A17="","",IFERROR(SUMIF(tDatastores[Cluster],A17,tDatastores[Free]),0))</f>
        <v/>
      </c>
      <c r="F17" s="53">
        <f>IF(A17="","",IFERROR(D17-E17,0))</f>
        <v/>
      </c>
      <c r="G17" s="54">
        <f>IF(A17="","",IFERROR(F17/D17,0))</f>
        <v/>
      </c>
      <c r="H17" s="55">
        <f>IF(A17="","",IF(G17&lt;0.7,"✅ OK",IF(G17&lt;0.85,"⚠️ Warning","🔴 Critique")))</f>
        <v/>
      </c>
      <c r="I17" s="53">
        <f>IF(A17="","",COUNTIF(tDatastores[Cluster],A17))</f>
        <v/>
      </c>
      <c r="J17" s="53">
        <f>IF(A17="","",COUNTIFS(tDatastores[Cluster],A17,tDatastores[Status],"red")+COUNTIFS(tDatastores[Cluster],A17,tDatastores[Status],"yellow"))</f>
        <v/>
      </c>
      <c r="K17" s="55">
        <f>IF(A17="","",IF(G17&gt;0.9,"🔴 Critique",IF(G17&gt;0.8,"⚠️ Warning","✅ OK")))</f>
        <v/>
      </c>
    </row>
    <row r="18" ht="19" customHeight="1">
      <c r="A18" s="9" t="inlineStr"/>
      <c r="B18" s="49" t="inlineStr"/>
      <c r="C18" s="61">
        <f>IF(A18="","",IFERROR(SUMIF(tDatastores[Cluster],A18,tDatastores[Capacity TB]),0))</f>
        <v/>
      </c>
      <c r="D18" s="50">
        <f>IF(A18="","",IFERROR(SUMIF(tDatastores[Cluster],A18,tDatastores[Capacity]),0))</f>
        <v/>
      </c>
      <c r="E18" s="50">
        <f>IF(A18="","",IFERROR(SUMIF(tDatastores[Cluster],A18,tDatastores[Free]),0))</f>
        <v/>
      </c>
      <c r="F18" s="50">
        <f>IF(A18="","",IFERROR(D18-E18,0))</f>
        <v/>
      </c>
      <c r="G18" s="51">
        <f>IF(A18="","",IFERROR(F18/D18,0))</f>
        <v/>
      </c>
      <c r="H18" s="52">
        <f>IF(A18="","",IF(G18&lt;0.7,"✅ OK",IF(G18&lt;0.85,"⚠️ Warning","🔴 Critique")))</f>
        <v/>
      </c>
      <c r="I18" s="50">
        <f>IF(A18="","",COUNTIF(tDatastores[Cluster],A18))</f>
        <v/>
      </c>
      <c r="J18" s="50">
        <f>IF(A18="","",COUNTIFS(tDatastores[Cluster],A18,tDatastores[Status],"red")+COUNTIFS(tDatastores[Cluster],A18,tDatastores[Status],"yellow"))</f>
        <v/>
      </c>
      <c r="K18" s="52">
        <f>IF(A18="","",IF(G18&gt;0.9,"🔴 Critique",IF(G18&gt;0.8,"⚠️ Warning","✅ OK")))</f>
        <v/>
      </c>
    </row>
    <row r="19" ht="19" customHeight="1">
      <c r="A19" s="9" t="inlineStr"/>
      <c r="B19" s="49" t="inlineStr"/>
      <c r="C19" s="62">
        <f>IF(A19="","",IFERROR(SUMIF(tDatastores[Cluster],A19,tDatastores[Capacity TB]),0))</f>
        <v/>
      </c>
      <c r="D19" s="53">
        <f>IF(A19="","",IFERROR(SUMIF(tDatastores[Cluster],A19,tDatastores[Capacity]),0))</f>
        <v/>
      </c>
      <c r="E19" s="53">
        <f>IF(A19="","",IFERROR(SUMIF(tDatastores[Cluster],A19,tDatastores[Free]),0))</f>
        <v/>
      </c>
      <c r="F19" s="53">
        <f>IF(A19="","",IFERROR(D19-E19,0))</f>
        <v/>
      </c>
      <c r="G19" s="54">
        <f>IF(A19="","",IFERROR(F19/D19,0))</f>
        <v/>
      </c>
      <c r="H19" s="55">
        <f>IF(A19="","",IF(G19&lt;0.7,"✅ OK",IF(G19&lt;0.85,"⚠️ Warning","🔴 Critique")))</f>
        <v/>
      </c>
      <c r="I19" s="53">
        <f>IF(A19="","",COUNTIF(tDatastores[Cluster],A19))</f>
        <v/>
      </c>
      <c r="J19" s="53">
        <f>IF(A19="","",COUNTIFS(tDatastores[Cluster],A19,tDatastores[Status],"red")+COUNTIFS(tDatastores[Cluster],A19,tDatastores[Status],"yellow"))</f>
        <v/>
      </c>
      <c r="K19" s="55">
        <f>IF(A19="","",IF(G19&gt;0.9,"🔴 Critique",IF(G19&gt;0.8,"⚠️ Warning","✅ OK")))</f>
        <v/>
      </c>
    </row>
    <row r="20" ht="22" customHeight="1">
      <c r="A20" s="56" t="inlineStr">
        <is>
          <t>TOTAUX</t>
        </is>
      </c>
      <c r="B20" s="56" t="n"/>
      <c r="C20" s="63">
        <f>SUM(C12:C19)</f>
        <v/>
      </c>
      <c r="D20" s="57">
        <f>SUM(D12:D19)</f>
        <v/>
      </c>
      <c r="E20" s="57">
        <f>SUM(E12:E19)</f>
        <v/>
      </c>
      <c r="F20" s="57">
        <f>SUM(F12:F19)</f>
        <v/>
      </c>
      <c r="G20" s="56" t="n"/>
      <c r="H20" s="56" t="n"/>
      <c r="I20" s="57">
        <f>SUM(I12:I19)</f>
        <v/>
      </c>
      <c r="J20" s="57">
        <f>SUM(J12:J19)</f>
        <v/>
      </c>
      <c r="K20" s="56" t="n"/>
    </row>
    <row r="22" ht="20" customHeight="1">
      <c r="A22" s="60" t="inlineStr">
        <is>
          <t xml:space="preserve">  📊  GRAPHIQUES STOCKAGE</t>
        </is>
      </c>
    </row>
  </sheetData>
  <mergeCells count="21">
    <mergeCell ref="J5:K5"/>
    <mergeCell ref="M5:N5"/>
    <mergeCell ref="A6:B6"/>
    <mergeCell ref="D6:E6"/>
    <mergeCell ref="A10:P10"/>
    <mergeCell ref="A7:B7"/>
    <mergeCell ref="G7:H7"/>
    <mergeCell ref="J6:K6"/>
    <mergeCell ref="G6:H6"/>
    <mergeCell ref="A22:O22"/>
    <mergeCell ref="A4:O4"/>
    <mergeCell ref="M7:N7"/>
    <mergeCell ref="D7:E7"/>
    <mergeCell ref="M6:N6"/>
    <mergeCell ref="A1:P1"/>
    <mergeCell ref="J7:K7"/>
    <mergeCell ref="A5:B5"/>
    <mergeCell ref="G5:H5"/>
    <mergeCell ref="A9:O9"/>
    <mergeCell ref="D5:E5"/>
    <mergeCell ref="A2:P2"/>
  </mergeCells>
  <conditionalFormatting sqref="G12:G19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V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50" customHeight="1">
      <c r="A1" s="1" t="inlineStr">
        <is>
          <t>🧪  SIMULATION D'AJOUT DE VMs PAR DATACENTER</t>
        </is>
      </c>
    </row>
    <row r="2" ht="16" customHeight="1">
      <c r="A2" s="2" t="inlineStr">
        <is>
          <t>Saisir les DCs (colonne A jaune) et le nombre de VMs à ajouter (colonne N jaune) — tout le reste est calculé automatiquement</t>
        </is>
      </c>
    </row>
    <row r="4" ht="20" customHeight="1">
      <c r="A4" s="64" t="inlineStr">
        <is>
          <t xml:space="preserve">  ⚙️  PROFIL VM SIMULÉE  (cellules jaunes = à modifier)</t>
        </is>
      </c>
    </row>
    <row r="5" ht="20" customHeight="1">
      <c r="A5" s="65" t="inlineStr">
        <is>
          <t>vCPUs par VM simulée</t>
        </is>
      </c>
      <c r="B5" s="66" t="n">
        <v>4</v>
      </c>
      <c r="C5" s="67" t="inlineStr">
        <is>
          <t>← Nb de vCPUs attribués à chaque nouvelle VM</t>
        </is>
      </c>
      <c r="D5" s="10" t="n"/>
      <c r="E5" s="10" t="n"/>
      <c r="F5" s="10" t="n"/>
      <c r="G5" s="10" t="n"/>
      <c r="H5" s="10" t="n"/>
      <c r="I5" s="10" t="n"/>
      <c r="J5" s="11" t="n"/>
    </row>
    <row r="6" ht="20" customHeight="1">
      <c r="A6" s="65" t="inlineStr">
        <is>
          <t>RAM par VM simulée (MB)</t>
        </is>
      </c>
      <c r="B6" s="66" t="n">
        <v>8192</v>
      </c>
      <c r="C6" s="67" t="inlineStr">
        <is>
          <t>← Quantité de RAM allouée à chaque nouvelle VM</t>
        </is>
      </c>
      <c r="D6" s="10" t="n"/>
      <c r="E6" s="10" t="n"/>
      <c r="F6" s="10" t="n"/>
      <c r="G6" s="10" t="n"/>
      <c r="H6" s="10" t="n"/>
      <c r="I6" s="10" t="n"/>
      <c r="J6" s="11" t="n"/>
    </row>
    <row r="7" ht="20" customHeight="1">
      <c r="A7" s="65" t="inlineStr">
        <is>
          <t>Utilisation CPU estimée / vCPU</t>
        </is>
      </c>
      <c r="B7" s="68" t="n">
        <v>0.3</v>
      </c>
      <c r="C7" s="67" t="inlineStr">
        <is>
          <t>← % d'un cœur physique consommé par vCPU actif</t>
        </is>
      </c>
      <c r="D7" s="10" t="n"/>
      <c r="E7" s="10" t="n"/>
      <c r="F7" s="10" t="n"/>
      <c r="G7" s="10" t="n"/>
      <c r="H7" s="10" t="n"/>
      <c r="I7" s="10" t="n"/>
      <c r="J7" s="11" t="n"/>
    </row>
    <row r="8" ht="20" customHeight="1">
      <c r="A8" s="65" t="inlineStr">
        <is>
          <t>Stockage par VM simulée (GB)</t>
        </is>
      </c>
      <c r="B8" s="66" t="n">
        <v>100</v>
      </c>
      <c r="C8" s="67" t="inlineStr">
        <is>
          <t>← Espace disque provisionné par VM</t>
        </is>
      </c>
      <c r="D8" s="10" t="n"/>
      <c r="E8" s="10" t="n"/>
      <c r="F8" s="10" t="n"/>
      <c r="G8" s="10" t="n"/>
      <c r="H8" s="10" t="n"/>
      <c r="I8" s="10" t="n"/>
      <c r="J8" s="11" t="n"/>
    </row>
    <row r="9" ht="20" customHeight="1">
      <c r="A9" s="65" t="inlineStr">
        <is>
          <t>Seuil CPU libre minimum (%)</t>
        </is>
      </c>
      <c r="B9" s="68" t="n">
        <v>0.2</v>
      </c>
      <c r="C9" s="67" t="inlineStr">
        <is>
          <t>← ⚠️ Alerte si CPU libre &lt; ce seuil (recommandé ≥ 20%)</t>
        </is>
      </c>
      <c r="D9" s="10" t="n"/>
      <c r="E9" s="10" t="n"/>
      <c r="F9" s="10" t="n"/>
      <c r="G9" s="10" t="n"/>
      <c r="H9" s="10" t="n"/>
      <c r="I9" s="10" t="n"/>
      <c r="J9" s="11" t="n"/>
    </row>
    <row r="10" ht="20" customHeight="1">
      <c r="A10" s="65" t="inlineStr">
        <is>
          <t>Seuil RAM libre minimum (%)</t>
        </is>
      </c>
      <c r="B10" s="68" t="n">
        <v>0.2</v>
      </c>
      <c r="C10" s="67" t="inlineStr">
        <is>
          <t>← ⚠️ Alerte si RAM libre &lt; ce seuil</t>
        </is>
      </c>
      <c r="D10" s="10" t="n"/>
      <c r="E10" s="10" t="n"/>
      <c r="F10" s="10" t="n"/>
      <c r="G10" s="10" t="n"/>
      <c r="H10" s="10" t="n"/>
      <c r="I10" s="10" t="n"/>
      <c r="J10" s="11" t="n"/>
    </row>
    <row r="11" ht="20" customHeight="1">
      <c r="A11" s="65" t="inlineStr">
        <is>
          <t>Seuil Stockage libre minimum (%)</t>
        </is>
      </c>
      <c r="B11" s="68" t="n">
        <v>0.15</v>
      </c>
      <c r="C11" s="67" t="inlineStr">
        <is>
          <t>← ⚠️ Alerte si espace libre &lt; ce seuil</t>
        </is>
      </c>
      <c r="D11" s="10" t="n"/>
      <c r="E11" s="10" t="n"/>
      <c r="F11" s="10" t="n"/>
      <c r="G11" s="10" t="n"/>
      <c r="H11" s="10" t="n"/>
      <c r="I11" s="10" t="n"/>
      <c r="J11" s="11" t="n"/>
    </row>
    <row r="13" ht="20" customHeight="1">
      <c r="A13" s="3" t="inlineStr">
        <is>
          <t xml:space="preserve">  🖥️  ÉTAT ACTUEL PAR DATACENTER</t>
        </is>
      </c>
    </row>
    <row r="14" ht="20" customHeight="1">
      <c r="A14" s="48" t="inlineStr">
        <is>
          <t xml:space="preserve">  ← Saisir le nom exact du Datacenter (colonne A) tel qu'il apparaît dans vCenter (champ ClusterDatacenter)</t>
        </is>
      </c>
    </row>
    <row r="15" ht="42" customHeight="1">
      <c r="A15" s="69" t="inlineStr">
        <is>
          <t>Datacenter
(saisir)</t>
        </is>
      </c>
      <c r="B15" s="69" t="inlineStr">
        <is>
          <t>Hosts
actifs</t>
        </is>
      </c>
      <c r="C15" s="69" t="inlineStr">
        <is>
          <t>CPUs
totaux</t>
        </is>
      </c>
      <c r="D15" s="69" t="inlineStr">
        <is>
          <t>Cœurs
CPU libres</t>
        </is>
      </c>
      <c r="E15" s="69" t="inlineStr">
        <is>
          <t>CPU cons.
moy.(%)</t>
        </is>
      </c>
      <c r="F15" s="69" t="inlineStr">
        <is>
          <t>CPU libre
moy.(%)</t>
        </is>
      </c>
      <c r="G15" s="69" t="inlineStr">
        <is>
          <t>RAM tot.
(GB)</t>
        </is>
      </c>
      <c r="H15" s="69" t="inlineStr">
        <is>
          <t>RAM cons.
(GB)</t>
        </is>
      </c>
      <c r="I15" s="69" t="inlineStr">
        <is>
          <t>RAM libre
(%)</t>
        </is>
      </c>
      <c r="J15" s="69" t="inlineStr">
        <is>
          <t>VMs
actuelles</t>
        </is>
      </c>
      <c r="K15" s="69" t="inlineStr">
        <is>
          <t>Prov.Stg
(GB)</t>
        </is>
      </c>
      <c r="L15" s="69" t="inlineStr">
        <is>
          <t>Stg libre
(GB)</t>
        </is>
      </c>
      <c r="M15" s="69" t="inlineStr">
        <is>
          <t>Stg libre
(%)</t>
        </is>
      </c>
      <c r="N15" s="70" t="inlineStr">
        <is>
          <t>➕ VMs à
ajouter</t>
        </is>
      </c>
      <c r="O15" s="70" t="inlineStr">
        <is>
          <t>vCPUs
suppl.</t>
        </is>
      </c>
      <c r="P15" s="70" t="inlineStr">
        <is>
          <t>RAM
suppl.(GB)</t>
        </is>
      </c>
      <c r="Q15" s="70" t="inlineStr">
        <is>
          <t>Stg.
suppl.(GB)</t>
        </is>
      </c>
      <c r="R15" s="71" t="inlineStr">
        <is>
          <t>CPU libre
après (%)</t>
        </is>
      </c>
      <c r="S15" s="71" t="inlineStr">
        <is>
          <t>Statut
CPU</t>
        </is>
      </c>
      <c r="T15" s="71" t="inlineStr">
        <is>
          <t>RAM libre
après (%)</t>
        </is>
      </c>
      <c r="U15" s="71" t="inlineStr">
        <is>
          <t>Statut
RAM</t>
        </is>
      </c>
      <c r="V15" s="71" t="inlineStr">
        <is>
          <t>Max VMs
possibles</t>
        </is>
      </c>
    </row>
    <row r="16" ht="22" customHeight="1">
      <c r="A16" s="72" t="inlineStr">
        <is>
          <t>DC-Paris</t>
        </is>
      </c>
      <c r="B16" s="50">
        <f>IF(A16="","",COUNTIF(tHosts[ClusterDatacenter],A16))</f>
        <v/>
      </c>
      <c r="C16" s="50">
        <f>IF(A16="","",SUMIF(tHosts[ClusterDatacenter],A16,tHosts[CPUs]))</f>
        <v/>
      </c>
      <c r="D16" s="50">
        <f>IF(A16="","",SUMIF(tHosts[ClusterDatacenter],A16,tHosts[CPU free cores]))</f>
        <v/>
      </c>
      <c r="E16" s="51">
        <f>IF(A16="","",IFERROR(AVERAGEIF(tHosts[ClusterDatacenter],A16,tHosts[Consumed CPU %]),0))</f>
        <v/>
      </c>
      <c r="F16" s="51">
        <f>IF(A16="","",IFERROR(AVERAGEIF(tHosts[ClusterDatacenter],A16,tHosts[CPU Free %]),0))</f>
        <v/>
      </c>
      <c r="G16" s="50">
        <f>IF(A16="","",ROUND(SUMIF(tHosts[ClusterDatacenter],A16,tHosts[Memory Size (MB)])/1024,0))</f>
        <v/>
      </c>
      <c r="H16" s="50">
        <f>IF(A16="","",ROUND(SUMIF(tHosts[ClusterDatacenter],A16,tHosts[RAM])/1024,0))</f>
        <v/>
      </c>
      <c r="I16" s="51">
        <f>IF(A16="","",IFERROR(1-H16/G16,0))</f>
        <v/>
      </c>
      <c r="J16" s="50">
        <f>IF(A16="","",COUNTIF(tVMs[ClusterDatacenter],A16))</f>
        <v/>
      </c>
      <c r="K16" s="50">
        <f>IF(A16="","",IFERROR(SUMIF(tVMs[ClusterDatacenter],A16,tVMs[Provisioned Space]),0))</f>
        <v/>
      </c>
      <c r="L16" s="50">
        <f>IF(A16="","",IFERROR(SUMIF(tHosts[ClusterDatacenter],A16,tHosts[CPU free cores])*10,0))</f>
        <v/>
      </c>
      <c r="M16" s="51">
        <f>IF(A16="","",IFERROR(L16/(L16+K16),0))</f>
        <v/>
      </c>
      <c r="N16" s="73" t="n">
        <v>0</v>
      </c>
      <c r="O16" s="74">
        <f>IF(OR(A16="",N16="",N16=0),"",N16*$B$5)</f>
        <v/>
      </c>
      <c r="P16" s="75">
        <f>IF(OR(A16="",N16="",N16=0),"",ROUND(N16*$B$6/1024,1))</f>
        <v/>
      </c>
      <c r="Q16" s="74">
        <f>IF(OR(A16="",N16="",N16=0),"",N16*$B$8)</f>
        <v/>
      </c>
      <c r="R16" s="76">
        <f>IF(OR(A16="",N16="",N16=0),"",IFERROR((D16-O16*$B$7)/C16,0))</f>
        <v/>
      </c>
      <c r="S16" s="77">
        <f>IF(R16="","",IF(R16&lt;$B$9,"🔴 Critique",IF(R16&lt;$B$9+0.05,"⚠️ Warning","✅ OK")))</f>
        <v/>
      </c>
      <c r="T16" s="76">
        <f>IF(OR(A16="",N16="",N16=0),"",IFERROR((G16-(H16+P16))/G16,0))</f>
        <v/>
      </c>
      <c r="U16" s="77">
        <f>IF(T16="","",IF(T16&lt;$B$10,"🔴 Critique",IF(T16&lt;$B$10+0.05,"⚠️ Warning","✅ OK")))</f>
        <v/>
      </c>
      <c r="V16" s="78">
        <f>IF(A16="","",IFERROR(MAX(0,FLOOR(MIN((D16-$B$9*C16)/($B$5*$B$7),(G16*(1-$B$10)-H16)/($B$6/1024)),1)),""))</f>
        <v/>
      </c>
    </row>
    <row r="17" ht="22" customHeight="1">
      <c r="A17" s="72" t="inlineStr">
        <is>
          <t>DC-Nantes</t>
        </is>
      </c>
      <c r="B17" s="53">
        <f>IF(A17="","",COUNTIF(tHosts[ClusterDatacenter],A17))</f>
        <v/>
      </c>
      <c r="C17" s="53">
        <f>IF(A17="","",SUMIF(tHosts[ClusterDatacenter],A17,tHosts[CPUs]))</f>
        <v/>
      </c>
      <c r="D17" s="53">
        <f>IF(A17="","",SUMIF(tHosts[ClusterDatacenter],A17,tHosts[CPU free cores]))</f>
        <v/>
      </c>
      <c r="E17" s="54">
        <f>IF(A17="","",IFERROR(AVERAGEIF(tHosts[ClusterDatacenter],A17,tHosts[Consumed CPU %]),0))</f>
        <v/>
      </c>
      <c r="F17" s="54">
        <f>IF(A17="","",IFERROR(AVERAGEIF(tHosts[ClusterDatacenter],A17,tHosts[CPU Free %]),0))</f>
        <v/>
      </c>
      <c r="G17" s="53">
        <f>IF(A17="","",ROUND(SUMIF(tHosts[ClusterDatacenter],A17,tHosts[Memory Size (MB)])/1024,0))</f>
        <v/>
      </c>
      <c r="H17" s="53">
        <f>IF(A17="","",ROUND(SUMIF(tHosts[ClusterDatacenter],A17,tHosts[RAM])/1024,0))</f>
        <v/>
      </c>
      <c r="I17" s="54">
        <f>IF(A17="","",IFERROR(1-H17/G17,0))</f>
        <v/>
      </c>
      <c r="J17" s="53">
        <f>IF(A17="","",COUNTIF(tVMs[ClusterDatacenter],A17))</f>
        <v/>
      </c>
      <c r="K17" s="53">
        <f>IF(A17="","",IFERROR(SUMIF(tVMs[ClusterDatacenter],A17,tVMs[Provisioned Space]),0))</f>
        <v/>
      </c>
      <c r="L17" s="53">
        <f>IF(A17="","",IFERROR(SUMIF(tHosts[ClusterDatacenter],A17,tHosts[CPU free cores])*10,0))</f>
        <v/>
      </c>
      <c r="M17" s="54">
        <f>IF(A17="","",IFERROR(L17/(L17+K17),0))</f>
        <v/>
      </c>
      <c r="N17" s="73" t="n">
        <v>0</v>
      </c>
      <c r="O17" s="74">
        <f>IF(OR(A17="",N17="",N17=0),"",N17*$B$5)</f>
        <v/>
      </c>
      <c r="P17" s="75">
        <f>IF(OR(A17="",N17="",N17=0),"",ROUND(N17*$B$6/1024,1))</f>
        <v/>
      </c>
      <c r="Q17" s="74">
        <f>IF(OR(A17="",N17="",N17=0),"",N17*$B$8)</f>
        <v/>
      </c>
      <c r="R17" s="76">
        <f>IF(OR(A17="",N17="",N17=0),"",IFERROR((D17-O17*$B$7)/C17,0))</f>
        <v/>
      </c>
      <c r="S17" s="77">
        <f>IF(R17="","",IF(R17&lt;$B$9,"🔴 Critique",IF(R17&lt;$B$9+0.05,"⚠️ Warning","✅ OK")))</f>
        <v/>
      </c>
      <c r="T17" s="76">
        <f>IF(OR(A17="",N17="",N17=0),"",IFERROR((G17-(H17+P17))/G17,0))</f>
        <v/>
      </c>
      <c r="U17" s="77">
        <f>IF(T17="","",IF(T17&lt;$B$10,"🔴 Critique",IF(T17&lt;$B$10+0.05,"⚠️ Warning","✅ OK")))</f>
        <v/>
      </c>
      <c r="V17" s="78">
        <f>IF(A17="","",IFERROR(MAX(0,FLOOR(MIN((D17-$B$9*C17)/($B$5*$B$7),(G17*(1-$B$10)-H17)/($B$6/1024)),1)),""))</f>
        <v/>
      </c>
    </row>
    <row r="18" ht="22" customHeight="1">
      <c r="A18" s="72" t="inlineStr">
        <is>
          <t>DC-Lyon</t>
        </is>
      </c>
      <c r="B18" s="50">
        <f>IF(A18="","",COUNTIF(tHosts[ClusterDatacenter],A18))</f>
        <v/>
      </c>
      <c r="C18" s="50">
        <f>IF(A18="","",SUMIF(tHosts[ClusterDatacenter],A18,tHosts[CPUs]))</f>
        <v/>
      </c>
      <c r="D18" s="50">
        <f>IF(A18="","",SUMIF(tHosts[ClusterDatacenter],A18,tHosts[CPU free cores]))</f>
        <v/>
      </c>
      <c r="E18" s="51">
        <f>IF(A18="","",IFERROR(AVERAGEIF(tHosts[ClusterDatacenter],A18,tHosts[Consumed CPU %]),0))</f>
        <v/>
      </c>
      <c r="F18" s="51">
        <f>IF(A18="","",IFERROR(AVERAGEIF(tHosts[ClusterDatacenter],A18,tHosts[CPU Free %]),0))</f>
        <v/>
      </c>
      <c r="G18" s="50">
        <f>IF(A18="","",ROUND(SUMIF(tHosts[ClusterDatacenter],A18,tHosts[Memory Size (MB)])/1024,0))</f>
        <v/>
      </c>
      <c r="H18" s="50">
        <f>IF(A18="","",ROUND(SUMIF(tHosts[ClusterDatacenter],A18,tHosts[RAM])/1024,0))</f>
        <v/>
      </c>
      <c r="I18" s="51">
        <f>IF(A18="","",IFERROR(1-H18/G18,0))</f>
        <v/>
      </c>
      <c r="J18" s="50">
        <f>IF(A18="","",COUNTIF(tVMs[ClusterDatacenter],A18))</f>
        <v/>
      </c>
      <c r="K18" s="50">
        <f>IF(A18="","",IFERROR(SUMIF(tVMs[ClusterDatacenter],A18,tVMs[Provisioned Space]),0))</f>
        <v/>
      </c>
      <c r="L18" s="50">
        <f>IF(A18="","",IFERROR(SUMIF(tHosts[ClusterDatacenter],A18,tHosts[CPU free cores])*10,0))</f>
        <v/>
      </c>
      <c r="M18" s="51">
        <f>IF(A18="","",IFERROR(L18/(L18+K18),0))</f>
        <v/>
      </c>
      <c r="N18" s="73" t="n">
        <v>0</v>
      </c>
      <c r="O18" s="74">
        <f>IF(OR(A18="",N18="",N18=0),"",N18*$B$5)</f>
        <v/>
      </c>
      <c r="P18" s="75">
        <f>IF(OR(A18="",N18="",N18=0),"",ROUND(N18*$B$6/1024,1))</f>
        <v/>
      </c>
      <c r="Q18" s="74">
        <f>IF(OR(A18="",N18="",N18=0),"",N18*$B$8)</f>
        <v/>
      </c>
      <c r="R18" s="76">
        <f>IF(OR(A18="",N18="",N18=0),"",IFERROR((D18-O18*$B$7)/C18,0))</f>
        <v/>
      </c>
      <c r="S18" s="77">
        <f>IF(R18="","",IF(R18&lt;$B$9,"🔴 Critique",IF(R18&lt;$B$9+0.05,"⚠️ Warning","✅ OK")))</f>
        <v/>
      </c>
      <c r="T18" s="76">
        <f>IF(OR(A18="",N18="",N18=0),"",IFERROR((G18-(H18+P18))/G18,0))</f>
        <v/>
      </c>
      <c r="U18" s="77">
        <f>IF(T18="","",IF(T18&lt;$B$10,"🔴 Critique",IF(T18&lt;$B$10+0.05,"⚠️ Warning","✅ OK")))</f>
        <v/>
      </c>
      <c r="V18" s="78">
        <f>IF(A18="","",IFERROR(MAX(0,FLOOR(MIN((D18-$B$9*C18)/($B$5*$B$7),(G18*(1-$B$10)-H18)/($B$6/1024)),1)),""))</f>
        <v/>
      </c>
    </row>
    <row r="19" ht="22" customHeight="1">
      <c r="A19" s="72" t="inlineStr"/>
      <c r="B19" s="53">
        <f>IF(A19="","",COUNTIF(tHosts[ClusterDatacenter],A19))</f>
        <v/>
      </c>
      <c r="C19" s="53">
        <f>IF(A19="","",SUMIF(tHosts[ClusterDatacenter],A19,tHosts[CPUs]))</f>
        <v/>
      </c>
      <c r="D19" s="53">
        <f>IF(A19="","",SUMIF(tHosts[ClusterDatacenter],A19,tHosts[CPU free cores]))</f>
        <v/>
      </c>
      <c r="E19" s="54">
        <f>IF(A19="","",IFERROR(AVERAGEIF(tHosts[ClusterDatacenter],A19,tHosts[Consumed CPU %]),0))</f>
        <v/>
      </c>
      <c r="F19" s="54">
        <f>IF(A19="","",IFERROR(AVERAGEIF(tHosts[ClusterDatacenter],A19,tHosts[CPU Free %]),0))</f>
        <v/>
      </c>
      <c r="G19" s="53">
        <f>IF(A19="","",ROUND(SUMIF(tHosts[ClusterDatacenter],A19,tHosts[Memory Size (MB)])/1024,0))</f>
        <v/>
      </c>
      <c r="H19" s="53">
        <f>IF(A19="","",ROUND(SUMIF(tHosts[ClusterDatacenter],A19,tHosts[RAM])/1024,0))</f>
        <v/>
      </c>
      <c r="I19" s="54">
        <f>IF(A19="","",IFERROR(1-H19/G19,0))</f>
        <v/>
      </c>
      <c r="J19" s="53">
        <f>IF(A19="","",COUNTIF(tVMs[ClusterDatacenter],A19))</f>
        <v/>
      </c>
      <c r="K19" s="53">
        <f>IF(A19="","",IFERROR(SUMIF(tVMs[ClusterDatacenter],A19,tVMs[Provisioned Space]),0))</f>
        <v/>
      </c>
      <c r="L19" s="53">
        <f>IF(A19="","",IFERROR(SUMIF(tHosts[ClusterDatacenter],A19,tHosts[CPU free cores])*10,0))</f>
        <v/>
      </c>
      <c r="M19" s="54">
        <f>IF(A19="","",IFERROR(L19/(L19+K19),0))</f>
        <v/>
      </c>
      <c r="N19" s="73" t="inlineStr"/>
      <c r="O19" s="74">
        <f>IF(OR(A19="",N19="",N19=0),"",N19*$B$5)</f>
        <v/>
      </c>
      <c r="P19" s="75">
        <f>IF(OR(A19="",N19="",N19=0),"",ROUND(N19*$B$6/1024,1))</f>
        <v/>
      </c>
      <c r="Q19" s="74">
        <f>IF(OR(A19="",N19="",N19=0),"",N19*$B$8)</f>
        <v/>
      </c>
      <c r="R19" s="76">
        <f>IF(OR(A19="",N19="",N19=0),"",IFERROR((D19-O19*$B$7)/C19,0))</f>
        <v/>
      </c>
      <c r="S19" s="77">
        <f>IF(R19="","",IF(R19&lt;$B$9,"🔴 Critique",IF(R19&lt;$B$9+0.05,"⚠️ Warning","✅ OK")))</f>
        <v/>
      </c>
      <c r="T19" s="76">
        <f>IF(OR(A19="",N19="",N19=0),"",IFERROR((G19-(H19+P19))/G19,0))</f>
        <v/>
      </c>
      <c r="U19" s="77">
        <f>IF(T19="","",IF(T19&lt;$B$10,"🔴 Critique",IF(T19&lt;$B$10+0.05,"⚠️ Warning","✅ OK")))</f>
        <v/>
      </c>
      <c r="V19" s="78">
        <f>IF(A19="","",IFERROR(MAX(0,FLOOR(MIN((D19-$B$9*C19)/($B$5*$B$7),(G19*(1-$B$10)-H19)/($B$6/1024)),1)),""))</f>
        <v/>
      </c>
    </row>
    <row r="20" ht="22" customHeight="1">
      <c r="A20" s="72" t="inlineStr"/>
      <c r="B20" s="50">
        <f>IF(A20="","",COUNTIF(tHosts[ClusterDatacenter],A20))</f>
        <v/>
      </c>
      <c r="C20" s="50">
        <f>IF(A20="","",SUMIF(tHosts[ClusterDatacenter],A20,tHosts[CPUs]))</f>
        <v/>
      </c>
      <c r="D20" s="50">
        <f>IF(A20="","",SUMIF(tHosts[ClusterDatacenter],A20,tHosts[CPU free cores]))</f>
        <v/>
      </c>
      <c r="E20" s="51">
        <f>IF(A20="","",IFERROR(AVERAGEIF(tHosts[ClusterDatacenter],A20,tHosts[Consumed CPU %]),0))</f>
        <v/>
      </c>
      <c r="F20" s="51">
        <f>IF(A20="","",IFERROR(AVERAGEIF(tHosts[ClusterDatacenter],A20,tHosts[CPU Free %]),0))</f>
        <v/>
      </c>
      <c r="G20" s="50">
        <f>IF(A20="","",ROUND(SUMIF(tHosts[ClusterDatacenter],A20,tHosts[Memory Size (MB)])/1024,0))</f>
        <v/>
      </c>
      <c r="H20" s="50">
        <f>IF(A20="","",ROUND(SUMIF(tHosts[ClusterDatacenter],A20,tHosts[RAM])/1024,0))</f>
        <v/>
      </c>
      <c r="I20" s="51">
        <f>IF(A20="","",IFERROR(1-H20/G20,0))</f>
        <v/>
      </c>
      <c r="J20" s="50">
        <f>IF(A20="","",COUNTIF(tVMs[ClusterDatacenter],A20))</f>
        <v/>
      </c>
      <c r="K20" s="50">
        <f>IF(A20="","",IFERROR(SUMIF(tVMs[ClusterDatacenter],A20,tVMs[Provisioned Space]),0))</f>
        <v/>
      </c>
      <c r="L20" s="50">
        <f>IF(A20="","",IFERROR(SUMIF(tHosts[ClusterDatacenter],A20,tHosts[CPU free cores])*10,0))</f>
        <v/>
      </c>
      <c r="M20" s="51">
        <f>IF(A20="","",IFERROR(L20/(L20+K20),0))</f>
        <v/>
      </c>
      <c r="N20" s="73" t="inlineStr"/>
      <c r="O20" s="74">
        <f>IF(OR(A20="",N20="",N20=0),"",N20*$B$5)</f>
        <v/>
      </c>
      <c r="P20" s="75">
        <f>IF(OR(A20="",N20="",N20=0),"",ROUND(N20*$B$6/1024,1))</f>
        <v/>
      </c>
      <c r="Q20" s="74">
        <f>IF(OR(A20="",N20="",N20=0),"",N20*$B$8)</f>
        <v/>
      </c>
      <c r="R20" s="76">
        <f>IF(OR(A20="",N20="",N20=0),"",IFERROR((D20-O20*$B$7)/C20,0))</f>
        <v/>
      </c>
      <c r="S20" s="77">
        <f>IF(R20="","",IF(R20&lt;$B$9,"🔴 Critique",IF(R20&lt;$B$9+0.05,"⚠️ Warning","✅ OK")))</f>
        <v/>
      </c>
      <c r="T20" s="76">
        <f>IF(OR(A20="",N20="",N20=0),"",IFERROR((G20-(H20+P20))/G20,0))</f>
        <v/>
      </c>
      <c r="U20" s="77">
        <f>IF(T20="","",IF(T20&lt;$B$10,"🔴 Critique",IF(T20&lt;$B$10+0.05,"⚠️ Warning","✅ OK")))</f>
        <v/>
      </c>
      <c r="V20" s="78">
        <f>IF(A20="","",IFERROR(MAX(0,FLOOR(MIN((D20-$B$9*C20)/($B$5*$B$7),(G20*(1-$B$10)-H20)/($B$6/1024)),1)),""))</f>
        <v/>
      </c>
    </row>
    <row r="21" ht="22" customHeight="1">
      <c r="A21" s="72" t="inlineStr"/>
      <c r="B21" s="53">
        <f>IF(A21="","",COUNTIF(tHosts[ClusterDatacenter],A21))</f>
        <v/>
      </c>
      <c r="C21" s="53">
        <f>IF(A21="","",SUMIF(tHosts[ClusterDatacenter],A21,tHosts[CPUs]))</f>
        <v/>
      </c>
      <c r="D21" s="53">
        <f>IF(A21="","",SUMIF(tHosts[ClusterDatacenter],A21,tHosts[CPU free cores]))</f>
        <v/>
      </c>
      <c r="E21" s="54">
        <f>IF(A21="","",IFERROR(AVERAGEIF(tHosts[ClusterDatacenter],A21,tHosts[Consumed CPU %]),0))</f>
        <v/>
      </c>
      <c r="F21" s="54">
        <f>IF(A21="","",IFERROR(AVERAGEIF(tHosts[ClusterDatacenter],A21,tHosts[CPU Free %]),0))</f>
        <v/>
      </c>
      <c r="G21" s="53">
        <f>IF(A21="","",ROUND(SUMIF(tHosts[ClusterDatacenter],A21,tHosts[Memory Size (MB)])/1024,0))</f>
        <v/>
      </c>
      <c r="H21" s="53">
        <f>IF(A21="","",ROUND(SUMIF(tHosts[ClusterDatacenter],A21,tHosts[RAM])/1024,0))</f>
        <v/>
      </c>
      <c r="I21" s="54">
        <f>IF(A21="","",IFERROR(1-H21/G21,0))</f>
        <v/>
      </c>
      <c r="J21" s="53">
        <f>IF(A21="","",COUNTIF(tVMs[ClusterDatacenter],A21))</f>
        <v/>
      </c>
      <c r="K21" s="53">
        <f>IF(A21="","",IFERROR(SUMIF(tVMs[ClusterDatacenter],A21,tVMs[Provisioned Space]),0))</f>
        <v/>
      </c>
      <c r="L21" s="53">
        <f>IF(A21="","",IFERROR(SUMIF(tHosts[ClusterDatacenter],A21,tHosts[CPU free cores])*10,0))</f>
        <v/>
      </c>
      <c r="M21" s="54">
        <f>IF(A21="","",IFERROR(L21/(L21+K21),0))</f>
        <v/>
      </c>
      <c r="N21" s="73" t="inlineStr"/>
      <c r="O21" s="74">
        <f>IF(OR(A21="",N21="",N21=0),"",N21*$B$5)</f>
        <v/>
      </c>
      <c r="P21" s="75">
        <f>IF(OR(A21="",N21="",N21=0),"",ROUND(N21*$B$6/1024,1))</f>
        <v/>
      </c>
      <c r="Q21" s="74">
        <f>IF(OR(A21="",N21="",N21=0),"",N21*$B$8)</f>
        <v/>
      </c>
      <c r="R21" s="76">
        <f>IF(OR(A21="",N21="",N21=0),"",IFERROR((D21-O21*$B$7)/C21,0))</f>
        <v/>
      </c>
      <c r="S21" s="77">
        <f>IF(R21="","",IF(R21&lt;$B$9,"🔴 Critique",IF(R21&lt;$B$9+0.05,"⚠️ Warning","✅ OK")))</f>
        <v/>
      </c>
      <c r="T21" s="76">
        <f>IF(OR(A21="",N21="",N21=0),"",IFERROR((G21-(H21+P21))/G21,0))</f>
        <v/>
      </c>
      <c r="U21" s="77">
        <f>IF(T21="","",IF(T21&lt;$B$10,"🔴 Critique",IF(T21&lt;$B$10+0.05,"⚠️ Warning","✅ OK")))</f>
        <v/>
      </c>
      <c r="V21" s="78">
        <f>IF(A21="","",IFERROR(MAX(0,FLOOR(MIN((D21-$B$9*C21)/($B$5*$B$7),(G21*(1-$B$10)-H21)/($B$6/1024)),1)),""))</f>
        <v/>
      </c>
    </row>
    <row r="22" ht="22" customHeight="1">
      <c r="A22" s="72" t="inlineStr"/>
      <c r="B22" s="50">
        <f>IF(A22="","",COUNTIF(tHosts[ClusterDatacenter],A22))</f>
        <v/>
      </c>
      <c r="C22" s="50">
        <f>IF(A22="","",SUMIF(tHosts[ClusterDatacenter],A22,tHosts[CPUs]))</f>
        <v/>
      </c>
      <c r="D22" s="50">
        <f>IF(A22="","",SUMIF(tHosts[ClusterDatacenter],A22,tHosts[CPU free cores]))</f>
        <v/>
      </c>
      <c r="E22" s="51">
        <f>IF(A22="","",IFERROR(AVERAGEIF(tHosts[ClusterDatacenter],A22,tHosts[Consumed CPU %]),0))</f>
        <v/>
      </c>
      <c r="F22" s="51">
        <f>IF(A22="","",IFERROR(AVERAGEIF(tHosts[ClusterDatacenter],A22,tHosts[CPU Free %]),0))</f>
        <v/>
      </c>
      <c r="G22" s="50">
        <f>IF(A22="","",ROUND(SUMIF(tHosts[ClusterDatacenter],A22,tHosts[Memory Size (MB)])/1024,0))</f>
        <v/>
      </c>
      <c r="H22" s="50">
        <f>IF(A22="","",ROUND(SUMIF(tHosts[ClusterDatacenter],A22,tHosts[RAM])/1024,0))</f>
        <v/>
      </c>
      <c r="I22" s="51">
        <f>IF(A22="","",IFERROR(1-H22/G22,0))</f>
        <v/>
      </c>
      <c r="J22" s="50">
        <f>IF(A22="","",COUNTIF(tVMs[ClusterDatacenter],A22))</f>
        <v/>
      </c>
      <c r="K22" s="50">
        <f>IF(A22="","",IFERROR(SUMIF(tVMs[ClusterDatacenter],A22,tVMs[Provisioned Space]),0))</f>
        <v/>
      </c>
      <c r="L22" s="50">
        <f>IF(A22="","",IFERROR(SUMIF(tHosts[ClusterDatacenter],A22,tHosts[CPU free cores])*10,0))</f>
        <v/>
      </c>
      <c r="M22" s="51">
        <f>IF(A22="","",IFERROR(L22/(L22+K22),0))</f>
        <v/>
      </c>
      <c r="N22" s="73" t="inlineStr"/>
      <c r="O22" s="74">
        <f>IF(OR(A22="",N22="",N22=0),"",N22*$B$5)</f>
        <v/>
      </c>
      <c r="P22" s="75">
        <f>IF(OR(A22="",N22="",N22=0),"",ROUND(N22*$B$6/1024,1))</f>
        <v/>
      </c>
      <c r="Q22" s="74">
        <f>IF(OR(A22="",N22="",N22=0),"",N22*$B$8)</f>
        <v/>
      </c>
      <c r="R22" s="76">
        <f>IF(OR(A22="",N22="",N22=0),"",IFERROR((D22-O22*$B$7)/C22,0))</f>
        <v/>
      </c>
      <c r="S22" s="77">
        <f>IF(R22="","",IF(R22&lt;$B$9,"🔴 Critique",IF(R22&lt;$B$9+0.05,"⚠️ Warning","✅ OK")))</f>
        <v/>
      </c>
      <c r="T22" s="76">
        <f>IF(OR(A22="",N22="",N22=0),"",IFERROR((G22-(H22+P22))/G22,0))</f>
        <v/>
      </c>
      <c r="U22" s="77">
        <f>IF(T22="","",IF(T22&lt;$B$10,"🔴 Critique",IF(T22&lt;$B$10+0.05,"⚠️ Warning","✅ OK")))</f>
        <v/>
      </c>
      <c r="V22" s="78">
        <f>IF(A22="","",IFERROR(MAX(0,FLOOR(MIN((D22-$B$9*C22)/($B$5*$B$7),(G22*(1-$B$10)-H22)/($B$6/1024)),1)),""))</f>
        <v/>
      </c>
    </row>
    <row r="23" ht="22" customHeight="1">
      <c r="A23" s="72" t="inlineStr"/>
      <c r="B23" s="53">
        <f>IF(A23="","",COUNTIF(tHosts[ClusterDatacenter],A23))</f>
        <v/>
      </c>
      <c r="C23" s="53">
        <f>IF(A23="","",SUMIF(tHosts[ClusterDatacenter],A23,tHosts[CPUs]))</f>
        <v/>
      </c>
      <c r="D23" s="53">
        <f>IF(A23="","",SUMIF(tHosts[ClusterDatacenter],A23,tHosts[CPU free cores]))</f>
        <v/>
      </c>
      <c r="E23" s="54">
        <f>IF(A23="","",IFERROR(AVERAGEIF(tHosts[ClusterDatacenter],A23,tHosts[Consumed CPU %]),0))</f>
        <v/>
      </c>
      <c r="F23" s="54">
        <f>IF(A23="","",IFERROR(AVERAGEIF(tHosts[ClusterDatacenter],A23,tHosts[CPU Free %]),0))</f>
        <v/>
      </c>
      <c r="G23" s="53">
        <f>IF(A23="","",ROUND(SUMIF(tHosts[ClusterDatacenter],A23,tHosts[Memory Size (MB)])/1024,0))</f>
        <v/>
      </c>
      <c r="H23" s="53">
        <f>IF(A23="","",ROUND(SUMIF(tHosts[ClusterDatacenter],A23,tHosts[RAM])/1024,0))</f>
        <v/>
      </c>
      <c r="I23" s="54">
        <f>IF(A23="","",IFERROR(1-H23/G23,0))</f>
        <v/>
      </c>
      <c r="J23" s="53">
        <f>IF(A23="","",COUNTIF(tVMs[ClusterDatacenter],A23))</f>
        <v/>
      </c>
      <c r="K23" s="53">
        <f>IF(A23="","",IFERROR(SUMIF(tVMs[ClusterDatacenter],A23,tVMs[Provisioned Space]),0))</f>
        <v/>
      </c>
      <c r="L23" s="53">
        <f>IF(A23="","",IFERROR(SUMIF(tHosts[ClusterDatacenter],A23,tHosts[CPU free cores])*10,0))</f>
        <v/>
      </c>
      <c r="M23" s="54">
        <f>IF(A23="","",IFERROR(L23/(L23+K23),0))</f>
        <v/>
      </c>
      <c r="N23" s="73" t="inlineStr"/>
      <c r="O23" s="74">
        <f>IF(OR(A23="",N23="",N23=0),"",N23*$B$5)</f>
        <v/>
      </c>
      <c r="P23" s="75">
        <f>IF(OR(A23="",N23="",N23=0),"",ROUND(N23*$B$6/1024,1))</f>
        <v/>
      </c>
      <c r="Q23" s="74">
        <f>IF(OR(A23="",N23="",N23=0),"",N23*$B$8)</f>
        <v/>
      </c>
      <c r="R23" s="76">
        <f>IF(OR(A23="",N23="",N23=0),"",IFERROR((D23-O23*$B$7)/C23,0))</f>
        <v/>
      </c>
      <c r="S23" s="77">
        <f>IF(R23="","",IF(R23&lt;$B$9,"🔴 Critique",IF(R23&lt;$B$9+0.05,"⚠️ Warning","✅ OK")))</f>
        <v/>
      </c>
      <c r="T23" s="76">
        <f>IF(OR(A23="",N23="",N23=0),"",IFERROR((G23-(H23+P23))/G23,0))</f>
        <v/>
      </c>
      <c r="U23" s="77">
        <f>IF(T23="","",IF(T23&lt;$B$10,"🔴 Critique",IF(T23&lt;$B$10+0.05,"⚠️ Warning","✅ OK")))</f>
        <v/>
      </c>
      <c r="V23" s="78">
        <f>IF(A23="","",IFERROR(MAX(0,FLOOR(MIN((D23-$B$9*C23)/($B$5*$B$7),(G23*(1-$B$10)-H23)/($B$6/1024)),1)),""))</f>
        <v/>
      </c>
    </row>
    <row r="24" ht="22" customHeight="1">
      <c r="A24" s="72" t="inlineStr"/>
      <c r="B24" s="50">
        <f>IF(A24="","",COUNTIF(tHosts[ClusterDatacenter],A24))</f>
        <v/>
      </c>
      <c r="C24" s="50">
        <f>IF(A24="","",SUMIF(tHosts[ClusterDatacenter],A24,tHosts[CPUs]))</f>
        <v/>
      </c>
      <c r="D24" s="50">
        <f>IF(A24="","",SUMIF(tHosts[ClusterDatacenter],A24,tHosts[CPU free cores]))</f>
        <v/>
      </c>
      <c r="E24" s="51">
        <f>IF(A24="","",IFERROR(AVERAGEIF(tHosts[ClusterDatacenter],A24,tHosts[Consumed CPU %]),0))</f>
        <v/>
      </c>
      <c r="F24" s="51">
        <f>IF(A24="","",IFERROR(AVERAGEIF(tHosts[ClusterDatacenter],A24,tHosts[CPU Free %]),0))</f>
        <v/>
      </c>
      <c r="G24" s="50">
        <f>IF(A24="","",ROUND(SUMIF(tHosts[ClusterDatacenter],A24,tHosts[Memory Size (MB)])/1024,0))</f>
        <v/>
      </c>
      <c r="H24" s="50">
        <f>IF(A24="","",ROUND(SUMIF(tHosts[ClusterDatacenter],A24,tHosts[RAM])/1024,0))</f>
        <v/>
      </c>
      <c r="I24" s="51">
        <f>IF(A24="","",IFERROR(1-H24/G24,0))</f>
        <v/>
      </c>
      <c r="J24" s="50">
        <f>IF(A24="","",COUNTIF(tVMs[ClusterDatacenter],A24))</f>
        <v/>
      </c>
      <c r="K24" s="50">
        <f>IF(A24="","",IFERROR(SUMIF(tVMs[ClusterDatacenter],A24,tVMs[Provisioned Space]),0))</f>
        <v/>
      </c>
      <c r="L24" s="50">
        <f>IF(A24="","",IFERROR(SUMIF(tHosts[ClusterDatacenter],A24,tHosts[CPU free cores])*10,0))</f>
        <v/>
      </c>
      <c r="M24" s="51">
        <f>IF(A24="","",IFERROR(L24/(L24+K24),0))</f>
        <v/>
      </c>
      <c r="N24" s="73" t="inlineStr"/>
      <c r="O24" s="74">
        <f>IF(OR(A24="",N24="",N24=0),"",N24*$B$5)</f>
        <v/>
      </c>
      <c r="P24" s="75">
        <f>IF(OR(A24="",N24="",N24=0),"",ROUND(N24*$B$6/1024,1))</f>
        <v/>
      </c>
      <c r="Q24" s="74">
        <f>IF(OR(A24="",N24="",N24=0),"",N24*$B$8)</f>
        <v/>
      </c>
      <c r="R24" s="76">
        <f>IF(OR(A24="",N24="",N24=0),"",IFERROR((D24-O24*$B$7)/C24,0))</f>
        <v/>
      </c>
      <c r="S24" s="77">
        <f>IF(R24="","",IF(R24&lt;$B$9,"🔴 Critique",IF(R24&lt;$B$9+0.05,"⚠️ Warning","✅ OK")))</f>
        <v/>
      </c>
      <c r="T24" s="76">
        <f>IF(OR(A24="",N24="",N24=0),"",IFERROR((G24-(H24+P24))/G24,0))</f>
        <v/>
      </c>
      <c r="U24" s="77">
        <f>IF(T24="","",IF(T24&lt;$B$10,"🔴 Critique",IF(T24&lt;$B$10+0.05,"⚠️ Warning","✅ OK")))</f>
        <v/>
      </c>
      <c r="V24" s="78">
        <f>IF(A24="","",IFERROR(MAX(0,FLOOR(MIN((D24-$B$9*C24)/($B$5*$B$7),(G24*(1-$B$10)-H24)/($B$6/1024)),1)),""))</f>
        <v/>
      </c>
    </row>
    <row r="25" ht="22" customHeight="1">
      <c r="A25" s="72" t="inlineStr"/>
      <c r="B25" s="53">
        <f>IF(A25="","",COUNTIF(tHosts[ClusterDatacenter],A25))</f>
        <v/>
      </c>
      <c r="C25" s="53">
        <f>IF(A25="","",SUMIF(tHosts[ClusterDatacenter],A25,tHosts[CPUs]))</f>
        <v/>
      </c>
      <c r="D25" s="53">
        <f>IF(A25="","",SUMIF(tHosts[ClusterDatacenter],A25,tHosts[CPU free cores]))</f>
        <v/>
      </c>
      <c r="E25" s="54">
        <f>IF(A25="","",IFERROR(AVERAGEIF(tHosts[ClusterDatacenter],A25,tHosts[Consumed CPU %]),0))</f>
        <v/>
      </c>
      <c r="F25" s="54">
        <f>IF(A25="","",IFERROR(AVERAGEIF(tHosts[ClusterDatacenter],A25,tHosts[CPU Free %]),0))</f>
        <v/>
      </c>
      <c r="G25" s="53">
        <f>IF(A25="","",ROUND(SUMIF(tHosts[ClusterDatacenter],A25,tHosts[Memory Size (MB)])/1024,0))</f>
        <v/>
      </c>
      <c r="H25" s="53">
        <f>IF(A25="","",ROUND(SUMIF(tHosts[ClusterDatacenter],A25,tHosts[RAM])/1024,0))</f>
        <v/>
      </c>
      <c r="I25" s="54">
        <f>IF(A25="","",IFERROR(1-H25/G25,0))</f>
        <v/>
      </c>
      <c r="J25" s="53">
        <f>IF(A25="","",COUNTIF(tVMs[ClusterDatacenter],A25))</f>
        <v/>
      </c>
      <c r="K25" s="53">
        <f>IF(A25="","",IFERROR(SUMIF(tVMs[ClusterDatacenter],A25,tVMs[Provisioned Space]),0))</f>
        <v/>
      </c>
      <c r="L25" s="53">
        <f>IF(A25="","",IFERROR(SUMIF(tHosts[ClusterDatacenter],A25,tHosts[CPU free cores])*10,0))</f>
        <v/>
      </c>
      <c r="M25" s="54">
        <f>IF(A25="","",IFERROR(L25/(L25+K25),0))</f>
        <v/>
      </c>
      <c r="N25" s="73" t="inlineStr"/>
      <c r="O25" s="74">
        <f>IF(OR(A25="",N25="",N25=0),"",N25*$B$5)</f>
        <v/>
      </c>
      <c r="P25" s="75">
        <f>IF(OR(A25="",N25="",N25=0),"",ROUND(N25*$B$6/1024,1))</f>
        <v/>
      </c>
      <c r="Q25" s="74">
        <f>IF(OR(A25="",N25="",N25=0),"",N25*$B$8)</f>
        <v/>
      </c>
      <c r="R25" s="76">
        <f>IF(OR(A25="",N25="",N25=0),"",IFERROR((D25-O25*$B$7)/C25,0))</f>
        <v/>
      </c>
      <c r="S25" s="77">
        <f>IF(R25="","",IF(R25&lt;$B$9,"🔴 Critique",IF(R25&lt;$B$9+0.05,"⚠️ Warning","✅ OK")))</f>
        <v/>
      </c>
      <c r="T25" s="76">
        <f>IF(OR(A25="",N25="",N25=0),"",IFERROR((G25-(H25+P25))/G25,0))</f>
        <v/>
      </c>
      <c r="U25" s="77">
        <f>IF(T25="","",IF(T25&lt;$B$10,"🔴 Critique",IF(T25&lt;$B$10+0.05,"⚠️ Warning","✅ OK")))</f>
        <v/>
      </c>
      <c r="V25" s="78">
        <f>IF(A25="","",IFERROR(MAX(0,FLOOR(MIN((D25-$B$9*C25)/($B$5*$B$7),(G25*(1-$B$10)-H25)/($B$6/1024)),1)),""))</f>
        <v/>
      </c>
    </row>
    <row r="27" ht="20" customHeight="1">
      <c r="A27" s="64" t="inlineStr">
        <is>
          <t xml:space="preserve">  📖  LÉGENDE DES CALCULS</t>
        </is>
      </c>
    </row>
    <row r="28" ht="18" customHeight="1">
      <c r="A28" s="79" t="inlineStr">
        <is>
          <t>CPU libre après (%)</t>
        </is>
      </c>
      <c r="B28" s="10" t="n"/>
      <c r="C28" s="11" t="n"/>
      <c r="D28" s="80">
        <f> (Cœurs libres actuels − vCPUs_ajoutés × util%) ÷ Total CPUs</f>
        <v/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1" t="n"/>
    </row>
    <row r="29" ht="18" customHeight="1">
      <c r="A29" s="79" t="inlineStr">
        <is>
          <t>RAM libre après (%)</t>
        </is>
      </c>
      <c r="B29" s="10" t="n"/>
      <c r="C29" s="11" t="n"/>
      <c r="D29" s="80">
        <f> (RAM totale − RAM consommée actuelle − RAM nouvelle VMs) ÷ RAM totale</f>
        <v/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1" t="n"/>
    </row>
    <row r="30" ht="18" customHeight="1">
      <c r="A30" s="79" t="inlineStr">
        <is>
          <t>Max VMs possibles</t>
        </is>
      </c>
      <c r="B30" s="10" t="n"/>
      <c r="C30" s="11" t="n"/>
      <c r="D30" s="80">
        <f> MIN( CPU: (cœurs libres − cœurs_seuil) ÷ (vCPUs×util%), RAM: (RAM libre − RAM_seuil) ÷ RAM/VM )</f>
        <v/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1" t="n"/>
    </row>
    <row r="31" ht="18" customHeight="1">
      <c r="A31" s="79" t="inlineStr">
        <is>
          <t>Seuil recommandé CPU</t>
        </is>
      </c>
      <c r="B31" s="10" t="n"/>
      <c r="C31" s="11" t="n"/>
      <c r="D31" s="80" t="inlineStr">
        <is>
          <t>≥ 20% CPU libre pour absorber une panne host (N+1) et les pics de charge</t>
        </is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1" t="n"/>
    </row>
    <row r="32" ht="18" customHeight="1">
      <c r="A32" s="79" t="inlineStr">
        <is>
          <t>Seuil recommandé RAM</t>
        </is>
      </c>
      <c r="B32" s="10" t="n"/>
      <c r="C32" s="11" t="n"/>
      <c r="D32" s="80" t="inlineStr">
        <is>
          <t>≥ 20% RAM libre — important pour vMotion et ballooning</t>
        </is>
      </c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1" t="n"/>
    </row>
    <row r="35" ht="20" customHeight="1">
      <c r="A35" s="64" t="inlineStr">
        <is>
          <t xml:space="preserve">  📊  VISUALISATION CPU LIBRE : ACTUEL vs SIMULÉ</t>
        </is>
      </c>
    </row>
  </sheetData>
  <mergeCells count="24">
    <mergeCell ref="A2:V2"/>
    <mergeCell ref="D28:V28"/>
    <mergeCell ref="C6:J6"/>
    <mergeCell ref="A4:J4"/>
    <mergeCell ref="C5:J5"/>
    <mergeCell ref="D30:V30"/>
    <mergeCell ref="A27:U27"/>
    <mergeCell ref="D29:V29"/>
    <mergeCell ref="A32:C32"/>
    <mergeCell ref="C10:J10"/>
    <mergeCell ref="A14:U14"/>
    <mergeCell ref="A29:C29"/>
    <mergeCell ref="C9:J9"/>
    <mergeCell ref="A28:C28"/>
    <mergeCell ref="A35:U35"/>
    <mergeCell ref="D31:V31"/>
    <mergeCell ref="A1:V1"/>
    <mergeCell ref="C11:J11"/>
    <mergeCell ref="A31:C31"/>
    <mergeCell ref="A13:U13"/>
    <mergeCell ref="A30:C30"/>
    <mergeCell ref="C8:J8"/>
    <mergeCell ref="C7:J7"/>
    <mergeCell ref="D32:V3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A148C"/>
    <outlinePr summaryBelow="1" summaryRight="1"/>
    <pageSetUpPr/>
  </sheetPr>
  <dimension ref="A1:R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50" customHeight="1">
      <c r="A1" s="1" t="inlineStr">
        <is>
          <t>🔮  PROJECTIONS DE CAPACITÉ – 12 MOIS</t>
        </is>
      </c>
    </row>
    <row r="2" ht="16" customHeight="1">
      <c r="A2" s="2" t="inlineStr">
        <is>
          <t>Modifier les cellules BLEUES pour ajuster les hypothèses  |  Projections alimentées depuis tHosts / tDatastores / tVMs</t>
        </is>
      </c>
    </row>
    <row r="4" ht="20" customHeight="1">
      <c r="A4" s="48" t="inlineStr">
        <is>
          <t xml:space="preserve">  ⚙️  HYPOTHÈSES DE CROISSANCE  (cellules bleues = modifiables)</t>
        </is>
      </c>
    </row>
    <row r="5" ht="19" customHeight="1">
      <c r="A5" s="8" t="inlineStr">
        <is>
          <t>Croissance VMs / mois</t>
        </is>
      </c>
      <c r="B5" s="81" t="n">
        <v>0.05</v>
      </c>
      <c r="C5" s="82" t="inlineStr">
        <is>
          <t>← % d'augmentation du nb de VMs par mois</t>
        </is>
      </c>
    </row>
    <row r="6" ht="19" customHeight="1">
      <c r="A6" s="8" t="inlineStr">
        <is>
          <t>Croissance CPU consommé / mois</t>
        </is>
      </c>
      <c r="B6" s="81" t="n">
        <v>0.04</v>
      </c>
      <c r="C6" s="82" t="inlineStr">
        <is>
          <t>← % d'augmentation de l'usage CPU par mois</t>
        </is>
      </c>
    </row>
    <row r="7" ht="19" customHeight="1">
      <c r="A7" s="8" t="inlineStr">
        <is>
          <t>Croissance stockage / mois</t>
        </is>
      </c>
      <c r="B7" s="81" t="n">
        <v>0.06</v>
      </c>
      <c r="C7" s="82" t="inlineStr">
        <is>
          <t>← % d'augmentation du stockage utilisé par mois</t>
        </is>
      </c>
    </row>
    <row r="8" ht="19" customHeight="1">
      <c r="A8" s="8" t="inlineStr">
        <is>
          <t>Croissance RAM / mois</t>
        </is>
      </c>
      <c r="B8" s="81" t="n">
        <v>0.04</v>
      </c>
      <c r="C8" s="82" t="inlineStr">
        <is>
          <t>← % d'augmentation de la RAM consommée par mois</t>
        </is>
      </c>
    </row>
    <row r="9" ht="19" customHeight="1">
      <c r="A9" s="8" t="inlineStr">
        <is>
          <t>Seuil alerte CPU libre (%)</t>
        </is>
      </c>
      <c r="B9" s="81" t="n">
        <v>0.2</v>
      </c>
      <c r="C9" s="82" t="inlineStr">
        <is>
          <t>← CPU libre &lt; seuil → Warning (recommandé 20%)</t>
        </is>
      </c>
    </row>
    <row r="10" ht="19" customHeight="1">
      <c r="A10" s="8" t="inlineStr">
        <is>
          <t>Seuil alerte RAM libre (%)</t>
        </is>
      </c>
      <c r="B10" s="81" t="n">
        <v>0.2</v>
      </c>
      <c r="C10" s="82" t="inlineStr">
        <is>
          <t>← RAM libre &lt; seuil → Warning</t>
        </is>
      </c>
    </row>
    <row r="11" ht="19" customHeight="1">
      <c r="A11" s="8" t="inlineStr">
        <is>
          <t>Seuil alerte Stockage libre (%).</t>
        </is>
      </c>
      <c r="B11" s="81" t="n">
        <v>0.15</v>
      </c>
      <c r="C11" s="82" t="inlineStr">
        <is>
          <t>← Stockage libre &lt; seuil → Warning</t>
        </is>
      </c>
    </row>
    <row r="13" ht="20" customHeight="1">
      <c r="A13" s="48" t="inlineStr">
        <is>
          <t xml:space="preserve">  📅  TABLEAU DE PROJECTION M0 → M+12</t>
        </is>
      </c>
    </row>
    <row r="14" ht="32" customHeight="1">
      <c r="A14" s="56" t="inlineStr">
        <is>
          <t>Indicateur</t>
        </is>
      </c>
      <c r="B14" s="69" t="inlineStr">
        <is>
          <t>M0
(Actuel)</t>
        </is>
      </c>
      <c r="C14" s="4" t="inlineStr">
        <is>
          <t>M+1</t>
        </is>
      </c>
      <c r="D14" s="4" t="inlineStr">
        <is>
          <t>M+2</t>
        </is>
      </c>
      <c r="E14" s="4" t="inlineStr">
        <is>
          <t>M+3</t>
        </is>
      </c>
      <c r="F14" s="4" t="inlineStr">
        <is>
          <t>M+4</t>
        </is>
      </c>
      <c r="G14" s="4" t="inlineStr">
        <is>
          <t>M+5</t>
        </is>
      </c>
      <c r="H14" s="4" t="inlineStr">
        <is>
          <t>M+6</t>
        </is>
      </c>
      <c r="I14" s="4" t="inlineStr">
        <is>
          <t>M+7</t>
        </is>
      </c>
      <c r="J14" s="4" t="inlineStr">
        <is>
          <t>M+8</t>
        </is>
      </c>
      <c r="K14" s="4" t="inlineStr">
        <is>
          <t>M+9</t>
        </is>
      </c>
      <c r="L14" s="4" t="inlineStr">
        <is>
          <t>M+10</t>
        </is>
      </c>
      <c r="M14" s="4" t="inlineStr">
        <is>
          <t>M+11</t>
        </is>
      </c>
      <c r="N14" s="4" t="inlineStr">
        <is>
          <t>M+12</t>
        </is>
      </c>
    </row>
    <row r="15" ht="19" customHeight="1">
      <c r="A15" s="83" t="inlineStr">
        <is>
          <t>── VMs ──</t>
        </is>
      </c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</row>
    <row r="16" ht="19" customHeight="1">
      <c r="A16" s="85" t="inlineStr">
        <is>
          <t>Nb VMs (total)</t>
        </is>
      </c>
      <c r="B16" s="53">
        <f>COUNTA(tVMs[Name])</f>
        <v/>
      </c>
      <c r="C16" s="53">
        <f>B16*(1+$B$5)</f>
        <v/>
      </c>
      <c r="D16" s="53">
        <f>C16*(1+$B$5)</f>
        <v/>
      </c>
      <c r="E16" s="53">
        <f>D16*(1+$B$5)</f>
        <v/>
      </c>
      <c r="F16" s="53">
        <f>E16*(1+$B$5)</f>
        <v/>
      </c>
      <c r="G16" s="53">
        <f>F16*(1+$B$5)</f>
        <v/>
      </c>
      <c r="H16" s="53">
        <f>G16*(1+$B$5)</f>
        <v/>
      </c>
      <c r="I16" s="53">
        <f>H16*(1+$B$5)</f>
        <v/>
      </c>
      <c r="J16" s="53">
        <f>I16*(1+$B$5)</f>
        <v/>
      </c>
      <c r="K16" s="53">
        <f>J16*(1+$B$5)</f>
        <v/>
      </c>
      <c r="L16" s="53">
        <f>K16*(1+$B$5)</f>
        <v/>
      </c>
      <c r="M16" s="53">
        <f>L16*(1+$B$5)</f>
        <v/>
      </c>
      <c r="N16" s="53">
        <f>M16*(1+$B$5)</f>
        <v/>
      </c>
    </row>
    <row r="17" ht="19" customHeight="1">
      <c r="A17" s="85" t="inlineStr">
        <is>
          <t>VMs poweredOn</t>
        </is>
      </c>
      <c r="B17" s="50">
        <f>COUNTIF(tVMs[State],"poweredOn")</f>
        <v/>
      </c>
      <c r="C17" s="50">
        <f>B17*(1+$B$5)</f>
        <v/>
      </c>
      <c r="D17" s="50">
        <f>C17*(1+$B$5)</f>
        <v/>
      </c>
      <c r="E17" s="50">
        <f>D17*(1+$B$5)</f>
        <v/>
      </c>
      <c r="F17" s="50">
        <f>E17*(1+$B$5)</f>
        <v/>
      </c>
      <c r="G17" s="50">
        <f>F17*(1+$B$5)</f>
        <v/>
      </c>
      <c r="H17" s="50">
        <f>G17*(1+$B$5)</f>
        <v/>
      </c>
      <c r="I17" s="50">
        <f>H17*(1+$B$5)</f>
        <v/>
      </c>
      <c r="J17" s="50">
        <f>I17*(1+$B$5)</f>
        <v/>
      </c>
      <c r="K17" s="50">
        <f>J17*(1+$B$5)</f>
        <v/>
      </c>
      <c r="L17" s="50">
        <f>K17*(1+$B$5)</f>
        <v/>
      </c>
      <c r="M17" s="50">
        <f>L17*(1+$B$5)</f>
        <v/>
      </c>
      <c r="N17" s="50">
        <f>M17*(1+$B$5)</f>
        <v/>
      </c>
    </row>
    <row r="18" ht="19" customHeight="1">
      <c r="A18" s="83" t="inlineStr">
        <is>
          <t>── CPU ──</t>
        </is>
      </c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4" t="n"/>
    </row>
    <row r="19" ht="19" customHeight="1">
      <c r="A19" s="85" t="inlineStr">
        <is>
          <t>CPU cons. moy. (%)</t>
        </is>
      </c>
      <c r="B19" s="51">
        <f>IFERROR(AVERAGEIF(tHosts[State],"connected",tHosts[Consumed CPU %]),0)</f>
        <v/>
      </c>
      <c r="C19" s="51">
        <f>B19*(1+$B$6)</f>
        <v/>
      </c>
      <c r="D19" s="51">
        <f>C19*(1+$B$6)</f>
        <v/>
      </c>
      <c r="E19" s="51">
        <f>D19*(1+$B$6)</f>
        <v/>
      </c>
      <c r="F19" s="51">
        <f>E19*(1+$B$6)</f>
        <v/>
      </c>
      <c r="G19" s="51">
        <f>F19*(1+$B$6)</f>
        <v/>
      </c>
      <c r="H19" s="51">
        <f>G19*(1+$B$6)</f>
        <v/>
      </c>
      <c r="I19" s="51">
        <f>H19*(1+$B$6)</f>
        <v/>
      </c>
      <c r="J19" s="51">
        <f>I19*(1+$B$6)</f>
        <v/>
      </c>
      <c r="K19" s="51">
        <f>J19*(1+$B$6)</f>
        <v/>
      </c>
      <c r="L19" s="51">
        <f>K19*(1+$B$6)</f>
        <v/>
      </c>
      <c r="M19" s="51">
        <f>L19*(1+$B$6)</f>
        <v/>
      </c>
      <c r="N19" s="51">
        <f>M19*(1+$B$6)</f>
        <v/>
      </c>
    </row>
    <row r="20" ht="19" customHeight="1">
      <c r="A20" s="85" t="inlineStr">
        <is>
          <t>CPU libre moy. (%)</t>
        </is>
      </c>
      <c r="B20" s="54">
        <f>IF(B19="","",IFERROR(1-B19,0))</f>
        <v/>
      </c>
      <c r="C20" s="54">
        <f>IF(C19="","",IFERROR(1-C19,0))</f>
        <v/>
      </c>
      <c r="D20" s="54">
        <f>IF(D19="","",IFERROR(1-D19,0))</f>
        <v/>
      </c>
      <c r="E20" s="54">
        <f>IF(E19="","",IFERROR(1-E19,0))</f>
        <v/>
      </c>
      <c r="F20" s="54">
        <f>IF(F19="","",IFERROR(1-F19,0))</f>
        <v/>
      </c>
      <c r="G20" s="54">
        <f>IF(G19="","",IFERROR(1-G19,0))</f>
        <v/>
      </c>
      <c r="H20" s="54">
        <f>IF(H19="","",IFERROR(1-H19,0))</f>
        <v/>
      </c>
      <c r="I20" s="54">
        <f>IF(I19="","",IFERROR(1-I19,0))</f>
        <v/>
      </c>
      <c r="J20" s="54">
        <f>IF(J19="","",IFERROR(1-J19,0))</f>
        <v/>
      </c>
      <c r="K20" s="54">
        <f>IF(K19="","",IFERROR(1-K19,0))</f>
        <v/>
      </c>
      <c r="L20" s="54">
        <f>IF(L19="","",IFERROR(1-L19,0))</f>
        <v/>
      </c>
      <c r="M20" s="54">
        <f>IF(M19="","",IFERROR(1-M19,0))</f>
        <v/>
      </c>
      <c r="N20" s="54">
        <f>IF(N19="","",IFERROR(1-N19,0))</f>
        <v/>
      </c>
    </row>
    <row r="21" ht="19" customHeight="1">
      <c r="A21" s="85" t="inlineStr">
        <is>
          <t>Cœurs CPU libres (total)</t>
        </is>
      </c>
      <c r="B21" s="50">
        <f>IFERROR(SUMIF(tHosts[State],"connected",tHosts[CPU free cores]),0)</f>
        <v/>
      </c>
      <c r="C21" s="50">
        <f>B21</f>
        <v/>
      </c>
      <c r="D21" s="50">
        <f>C21</f>
        <v/>
      </c>
      <c r="E21" s="50">
        <f>D21</f>
        <v/>
      </c>
      <c r="F21" s="50">
        <f>E21</f>
        <v/>
      </c>
      <c r="G21" s="50">
        <f>F21</f>
        <v/>
      </c>
      <c r="H21" s="50">
        <f>G21</f>
        <v/>
      </c>
      <c r="I21" s="50">
        <f>H21</f>
        <v/>
      </c>
      <c r="J21" s="50">
        <f>I21</f>
        <v/>
      </c>
      <c r="K21" s="50">
        <f>J21</f>
        <v/>
      </c>
      <c r="L21" s="50">
        <f>K21</f>
        <v/>
      </c>
      <c r="M21" s="50">
        <f>L21</f>
        <v/>
      </c>
      <c r="N21" s="50">
        <f>M21</f>
        <v/>
      </c>
    </row>
    <row r="22" ht="19" customHeight="1">
      <c r="A22" s="85" t="inlineStr">
        <is>
          <t>Statut CPU</t>
        </is>
      </c>
      <c r="B22" s="55">
        <f>IF(B20="","",IF(B20&lt;$B$9,"🔴 Critique",IF(B20&lt;$B$9+0.05,"⚠️ Warning","✅ OK")))</f>
        <v/>
      </c>
      <c r="C22" s="55">
        <f>IF(C20="","",IF(C20&lt;$B$9,"🔴 Critique",IF(C20&lt;$B$9+0.05,"⚠️ Warning","✅ OK")))</f>
        <v/>
      </c>
      <c r="D22" s="55">
        <f>IF(D20="","",IF(D20&lt;$B$9,"🔴 Critique",IF(D20&lt;$B$9+0.05,"⚠️ Warning","✅ OK")))</f>
        <v/>
      </c>
      <c r="E22" s="55">
        <f>IF(E20="","",IF(E20&lt;$B$9,"🔴 Critique",IF(E20&lt;$B$9+0.05,"⚠️ Warning","✅ OK")))</f>
        <v/>
      </c>
      <c r="F22" s="55">
        <f>IF(F20="","",IF(F20&lt;$B$9,"🔴 Critique",IF(F20&lt;$B$9+0.05,"⚠️ Warning","✅ OK")))</f>
        <v/>
      </c>
      <c r="G22" s="55">
        <f>IF(G20="","",IF(G20&lt;$B$9,"🔴 Critique",IF(G20&lt;$B$9+0.05,"⚠️ Warning","✅ OK")))</f>
        <v/>
      </c>
      <c r="H22" s="55">
        <f>IF(H20="","",IF(H20&lt;$B$9,"🔴 Critique",IF(H20&lt;$B$9+0.05,"⚠️ Warning","✅ OK")))</f>
        <v/>
      </c>
      <c r="I22" s="55">
        <f>IF(I20="","",IF(I20&lt;$B$9,"🔴 Critique",IF(I20&lt;$B$9+0.05,"⚠️ Warning","✅ OK")))</f>
        <v/>
      </c>
      <c r="J22" s="55">
        <f>IF(J20="","",IF(J20&lt;$B$9,"🔴 Critique",IF(J20&lt;$B$9+0.05,"⚠️ Warning","✅ OK")))</f>
        <v/>
      </c>
      <c r="K22" s="55">
        <f>IF(K20="","",IF(K20&lt;$B$9,"🔴 Critique",IF(K20&lt;$B$9+0.05,"⚠️ Warning","✅ OK")))</f>
        <v/>
      </c>
      <c r="L22" s="55">
        <f>IF(L20="","",IF(L20&lt;$B$9,"🔴 Critique",IF(L20&lt;$B$9+0.05,"⚠️ Warning","✅ OK")))</f>
        <v/>
      </c>
      <c r="M22" s="55">
        <f>IF(M20="","",IF(M20&lt;$B$9,"🔴 Critique",IF(M20&lt;$B$9+0.05,"⚠️ Warning","✅ OK")))</f>
        <v/>
      </c>
      <c r="N22" s="55">
        <f>IF(N20="","",IF(N20&lt;$B$9,"🔴 Critique",IF(N20&lt;$B$9+0.05,"⚠️ Warning","✅ OK")))</f>
        <v/>
      </c>
    </row>
    <row r="23" ht="19" customHeight="1">
      <c r="A23" s="83" t="inlineStr">
        <is>
          <t>── RAM ──</t>
        </is>
      </c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</row>
    <row r="24" ht="19" customHeight="1">
      <c r="A24" s="85" t="inlineStr">
        <is>
          <t>RAM cons. moy. (MB)</t>
        </is>
      </c>
      <c r="B24" s="53">
        <f>IFERROR(AVERAGEIF(tHosts[State],"connected",tHosts[RAM]),0)</f>
        <v/>
      </c>
      <c r="C24" s="53">
        <f>B24*(1+$B$8)</f>
        <v/>
      </c>
      <c r="D24" s="53">
        <f>C24*(1+$B$8)</f>
        <v/>
      </c>
      <c r="E24" s="53">
        <f>D24*(1+$B$8)</f>
        <v/>
      </c>
      <c r="F24" s="53">
        <f>E24*(1+$B$8)</f>
        <v/>
      </c>
      <c r="G24" s="53">
        <f>F24*(1+$B$8)</f>
        <v/>
      </c>
      <c r="H24" s="53">
        <f>G24*(1+$B$8)</f>
        <v/>
      </c>
      <c r="I24" s="53">
        <f>H24*(1+$B$8)</f>
        <v/>
      </c>
      <c r="J24" s="53">
        <f>I24*(1+$B$8)</f>
        <v/>
      </c>
      <c r="K24" s="53">
        <f>J24*(1+$B$8)</f>
        <v/>
      </c>
      <c r="L24" s="53">
        <f>K24*(1+$B$8)</f>
        <v/>
      </c>
      <c r="M24" s="53">
        <f>L24*(1+$B$8)</f>
        <v/>
      </c>
      <c r="N24" s="53">
        <f>M24*(1+$B$8)</f>
        <v/>
      </c>
    </row>
    <row r="25" ht="19" customHeight="1">
      <c r="A25" s="85" t="inlineStr">
        <is>
          <t>RAM totale (GB)</t>
        </is>
      </c>
      <c r="B25" s="50">
        <f>IFERROR(ROUND(SUMIF(tHosts[State],"connected",tHosts[Memory Size (MB)])/1024,0),0)</f>
        <v/>
      </c>
      <c r="C25" s="50">
        <f>B25</f>
        <v/>
      </c>
      <c r="D25" s="50">
        <f>C25</f>
        <v/>
      </c>
      <c r="E25" s="50">
        <f>D25</f>
        <v/>
      </c>
      <c r="F25" s="50">
        <f>E25</f>
        <v/>
      </c>
      <c r="G25" s="50">
        <f>F25</f>
        <v/>
      </c>
      <c r="H25" s="50">
        <f>G25</f>
        <v/>
      </c>
      <c r="I25" s="50">
        <f>H25</f>
        <v/>
      </c>
      <c r="J25" s="50">
        <f>I25</f>
        <v/>
      </c>
      <c r="K25" s="50">
        <f>J25</f>
        <v/>
      </c>
      <c r="L25" s="50">
        <f>K25</f>
        <v/>
      </c>
      <c r="M25" s="50">
        <f>L25</f>
        <v/>
      </c>
      <c r="N25" s="50">
        <f>M25</f>
        <v/>
      </c>
    </row>
    <row r="26" ht="19" customHeight="1">
      <c r="A26" s="85" t="inlineStr">
        <is>
          <t>RAM libre (%)</t>
        </is>
      </c>
      <c r="B26" s="54">
        <f>IFERROR(1-(B24/(B25*1024)),0)</f>
        <v/>
      </c>
      <c r="C26" s="54">
        <f>IFERROR(1-(C24/(C25*1024)),0)</f>
        <v/>
      </c>
      <c r="D26" s="54">
        <f>IFERROR(1-(D24/(D25*1024)),0)</f>
        <v/>
      </c>
      <c r="E26" s="54">
        <f>IFERROR(1-(E24/(E25*1024)),0)</f>
        <v/>
      </c>
      <c r="F26" s="54">
        <f>IFERROR(1-(F24/(F25*1024)),0)</f>
        <v/>
      </c>
      <c r="G26" s="54">
        <f>IFERROR(1-(G24/(G25*1024)),0)</f>
        <v/>
      </c>
      <c r="H26" s="54">
        <f>IFERROR(1-(H24/(H25*1024)),0)</f>
        <v/>
      </c>
      <c r="I26" s="54">
        <f>IFERROR(1-(I24/(I25*1024)),0)</f>
        <v/>
      </c>
      <c r="J26" s="54">
        <f>IFERROR(1-(J24/(J25*1024)),0)</f>
        <v/>
      </c>
      <c r="K26" s="54">
        <f>IFERROR(1-(K24/(K25*1024)),0)</f>
        <v/>
      </c>
      <c r="L26" s="54">
        <f>IFERROR(1-(L24/(L25*1024)),0)</f>
        <v/>
      </c>
      <c r="M26" s="54">
        <f>IFERROR(1-(M24/(M25*1024)),0)</f>
        <v/>
      </c>
      <c r="N26" s="54">
        <f>IFERROR(1-(N24/(N25*1024)),0)</f>
        <v/>
      </c>
    </row>
    <row r="27" ht="19" customHeight="1">
      <c r="A27" s="85" t="inlineStr">
        <is>
          <t>Statut RAM</t>
        </is>
      </c>
      <c r="B27" s="52">
        <f>IF(B26&lt;$B$10,"🔴 Critique",IF(B26&lt;$B$10+0.05,"⚠️ Warning","✅ OK"))</f>
        <v/>
      </c>
      <c r="C27" s="52">
        <f>IF(C26&lt;$B$10,"🔴 Critique",IF(C26&lt;$B$10+0.05,"⚠️ Warning","✅ OK"))</f>
        <v/>
      </c>
      <c r="D27" s="52">
        <f>IF(D26&lt;$B$10,"🔴 Critique",IF(D26&lt;$B$10+0.05,"⚠️ Warning","✅ OK"))</f>
        <v/>
      </c>
      <c r="E27" s="52">
        <f>IF(E26&lt;$B$10,"🔴 Critique",IF(E26&lt;$B$10+0.05,"⚠️ Warning","✅ OK"))</f>
        <v/>
      </c>
      <c r="F27" s="52">
        <f>IF(F26&lt;$B$10,"🔴 Critique",IF(F26&lt;$B$10+0.05,"⚠️ Warning","✅ OK"))</f>
        <v/>
      </c>
      <c r="G27" s="52">
        <f>IF(G26&lt;$B$10,"🔴 Critique",IF(G26&lt;$B$10+0.05,"⚠️ Warning","✅ OK"))</f>
        <v/>
      </c>
      <c r="H27" s="52">
        <f>IF(H26&lt;$B$10,"🔴 Critique",IF(H26&lt;$B$10+0.05,"⚠️ Warning","✅ OK"))</f>
        <v/>
      </c>
      <c r="I27" s="52">
        <f>IF(I26&lt;$B$10,"🔴 Critique",IF(I26&lt;$B$10+0.05,"⚠️ Warning","✅ OK"))</f>
        <v/>
      </c>
      <c r="J27" s="52">
        <f>IF(J26&lt;$B$10,"🔴 Critique",IF(J26&lt;$B$10+0.05,"⚠️ Warning","✅ OK"))</f>
        <v/>
      </c>
      <c r="K27" s="52">
        <f>IF(K26&lt;$B$10,"🔴 Critique",IF(K26&lt;$B$10+0.05,"⚠️ Warning","✅ OK"))</f>
        <v/>
      </c>
      <c r="L27" s="52">
        <f>IF(L26&lt;$B$10,"🔴 Critique",IF(L26&lt;$B$10+0.05,"⚠️ Warning","✅ OK"))</f>
        <v/>
      </c>
      <c r="M27" s="52">
        <f>IF(M26&lt;$B$10,"🔴 Critique",IF(M26&lt;$B$10+0.05,"⚠️ Warning","✅ OK"))</f>
        <v/>
      </c>
      <c r="N27" s="52">
        <f>IF(N26&lt;$B$10,"🔴 Critique",IF(N26&lt;$B$10+0.05,"⚠️ Warning","✅ OK"))</f>
        <v/>
      </c>
    </row>
    <row r="28" ht="19" customHeight="1">
      <c r="A28" s="83" t="inlineStr">
        <is>
          <t>── Stockage ──</t>
        </is>
      </c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</row>
    <row r="29" ht="19" customHeight="1">
      <c r="A29" s="85" t="inlineStr">
        <is>
          <t>Stockage utilisé (GB)</t>
        </is>
      </c>
      <c r="B29" s="50">
        <f>IFERROR(SUM(tDatastores[Capacity])-SUM(tDatastores[Free]),0)</f>
        <v/>
      </c>
      <c r="C29" s="50">
        <f>B29*(1+$B$7)</f>
        <v/>
      </c>
      <c r="D29" s="50">
        <f>C29*(1+$B$7)</f>
        <v/>
      </c>
      <c r="E29" s="50">
        <f>D29*(1+$B$7)</f>
        <v/>
      </c>
      <c r="F29" s="50">
        <f>E29*(1+$B$7)</f>
        <v/>
      </c>
      <c r="G29" s="50">
        <f>F29*(1+$B$7)</f>
        <v/>
      </c>
      <c r="H29" s="50">
        <f>G29*(1+$B$7)</f>
        <v/>
      </c>
      <c r="I29" s="50">
        <f>H29*(1+$B$7)</f>
        <v/>
      </c>
      <c r="J29" s="50">
        <f>I29*(1+$B$7)</f>
        <v/>
      </c>
      <c r="K29" s="50">
        <f>J29*(1+$B$7)</f>
        <v/>
      </c>
      <c r="L29" s="50">
        <f>K29*(1+$B$7)</f>
        <v/>
      </c>
      <c r="M29" s="50">
        <f>L29*(1+$B$7)</f>
        <v/>
      </c>
      <c r="N29" s="50">
        <f>M29*(1+$B$7)</f>
        <v/>
      </c>
    </row>
    <row r="30" ht="19" customHeight="1">
      <c r="A30" s="85" t="inlineStr">
        <is>
          <t>Stockage total (GB)</t>
        </is>
      </c>
      <c r="B30" s="53">
        <f>IFERROR(SUM(tDatastores[Capacity]),0)</f>
        <v/>
      </c>
      <c r="C30" s="53">
        <f>B30</f>
        <v/>
      </c>
      <c r="D30" s="53">
        <f>C30</f>
        <v/>
      </c>
      <c r="E30" s="53">
        <f>D30</f>
        <v/>
      </c>
      <c r="F30" s="53">
        <f>E30</f>
        <v/>
      </c>
      <c r="G30" s="53">
        <f>F30</f>
        <v/>
      </c>
      <c r="H30" s="53">
        <f>G30</f>
        <v/>
      </c>
      <c r="I30" s="53">
        <f>H30</f>
        <v/>
      </c>
      <c r="J30" s="53">
        <f>I30</f>
        <v/>
      </c>
      <c r="K30" s="53">
        <f>J30</f>
        <v/>
      </c>
      <c r="L30" s="53">
        <f>K30</f>
        <v/>
      </c>
      <c r="M30" s="53">
        <f>L30</f>
        <v/>
      </c>
      <c r="N30" s="53">
        <f>M30</f>
        <v/>
      </c>
    </row>
    <row r="31" ht="19" customHeight="1">
      <c r="A31" s="85" t="inlineStr">
        <is>
          <t>Stockage libre (%)</t>
        </is>
      </c>
      <c r="B31" s="51">
        <f>IFERROR(1-B29/B30,0)</f>
        <v/>
      </c>
      <c r="C31" s="51">
        <f>IFERROR(1-C29/C30,0)</f>
        <v/>
      </c>
      <c r="D31" s="51">
        <f>IFERROR(1-D29/D30,0)</f>
        <v/>
      </c>
      <c r="E31" s="51">
        <f>IFERROR(1-E29/E30,0)</f>
        <v/>
      </c>
      <c r="F31" s="51">
        <f>IFERROR(1-F29/F30,0)</f>
        <v/>
      </c>
      <c r="G31" s="51">
        <f>IFERROR(1-G29/G30,0)</f>
        <v/>
      </c>
      <c r="H31" s="51">
        <f>IFERROR(1-H29/H30,0)</f>
        <v/>
      </c>
      <c r="I31" s="51">
        <f>IFERROR(1-I29/I30,0)</f>
        <v/>
      </c>
      <c r="J31" s="51">
        <f>IFERROR(1-J29/J30,0)</f>
        <v/>
      </c>
      <c r="K31" s="51">
        <f>IFERROR(1-K29/K30,0)</f>
        <v/>
      </c>
      <c r="L31" s="51">
        <f>IFERROR(1-L29/L30,0)</f>
        <v/>
      </c>
      <c r="M31" s="51">
        <f>IFERROR(1-M29/M30,0)</f>
        <v/>
      </c>
      <c r="N31" s="51">
        <f>IFERROR(1-N29/N30,0)</f>
        <v/>
      </c>
    </row>
    <row r="32" ht="19" customHeight="1">
      <c r="A32" s="85" t="inlineStr">
        <is>
          <t>Statut Stockage</t>
        </is>
      </c>
      <c r="B32" s="55">
        <f>IF(B31&lt;$B$11,"🔴 Critique",IF(B31&lt;$B$11+0.05,"⚠️ Warning","✅ OK"))</f>
        <v/>
      </c>
      <c r="C32" s="55">
        <f>IF(C31&lt;$B$11,"🔴 Critique",IF(C31&lt;$B$11+0.05,"⚠️ Warning","✅ OK"))</f>
        <v/>
      </c>
      <c r="D32" s="55">
        <f>IF(D31&lt;$B$11,"🔴 Critique",IF(D31&lt;$B$11+0.05,"⚠️ Warning","✅ OK"))</f>
        <v/>
      </c>
      <c r="E32" s="55">
        <f>IF(E31&lt;$B$11,"🔴 Critique",IF(E31&lt;$B$11+0.05,"⚠️ Warning","✅ OK"))</f>
        <v/>
      </c>
      <c r="F32" s="55">
        <f>IF(F31&lt;$B$11,"🔴 Critique",IF(F31&lt;$B$11+0.05,"⚠️ Warning","✅ OK"))</f>
        <v/>
      </c>
      <c r="G32" s="55">
        <f>IF(G31&lt;$B$11,"🔴 Critique",IF(G31&lt;$B$11+0.05,"⚠️ Warning","✅ OK"))</f>
        <v/>
      </c>
      <c r="H32" s="55">
        <f>IF(H31&lt;$B$11,"🔴 Critique",IF(H31&lt;$B$11+0.05,"⚠️ Warning","✅ OK"))</f>
        <v/>
      </c>
      <c r="I32" s="55">
        <f>IF(I31&lt;$B$11,"🔴 Critique",IF(I31&lt;$B$11+0.05,"⚠️ Warning","✅ OK"))</f>
        <v/>
      </c>
      <c r="J32" s="55">
        <f>IF(J31&lt;$B$11,"🔴 Critique",IF(J31&lt;$B$11+0.05,"⚠️ Warning","✅ OK"))</f>
        <v/>
      </c>
      <c r="K32" s="55">
        <f>IF(K31&lt;$B$11,"🔴 Critique",IF(K31&lt;$B$11+0.05,"⚠️ Warning","✅ OK"))</f>
        <v/>
      </c>
      <c r="L32" s="55">
        <f>IF(L31&lt;$B$11,"🔴 Critique",IF(L31&lt;$B$11+0.05,"⚠️ Warning","✅ OK"))</f>
        <v/>
      </c>
      <c r="M32" s="55">
        <f>IF(M31&lt;$B$11,"🔴 Critique",IF(M31&lt;$B$11+0.05,"⚠️ Warning","✅ OK"))</f>
        <v/>
      </c>
      <c r="N32" s="55">
        <f>IF(N31&lt;$B$11,"🔴 Critique",IF(N31&lt;$B$11+0.05,"⚠️ Warning","✅ OK"))</f>
        <v/>
      </c>
    </row>
    <row r="35" ht="20" customHeight="1">
      <c r="A35" s="48" t="inlineStr">
        <is>
          <t xml:space="preserve">  📈  GRAPHIQUES DE PROJECTION</t>
        </is>
      </c>
    </row>
  </sheetData>
  <mergeCells count="9">
    <mergeCell ref="A15:O15"/>
    <mergeCell ref="A4:E4"/>
    <mergeCell ref="A13:P13"/>
    <mergeCell ref="A2:R2"/>
    <mergeCell ref="A28:O28"/>
    <mergeCell ref="A23:O23"/>
    <mergeCell ref="A35:P35"/>
    <mergeCell ref="A1:R1"/>
    <mergeCell ref="A18:O1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71C1C"/>
    <outlinePr summaryBelow="1" summaryRight="1"/>
    <pageSetUpPr/>
  </sheetPr>
  <dimension ref="A1:U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10" customHeight="1">
      <c r="A1" s="86" t="n"/>
      <c r="B1" s="86" t="n"/>
      <c r="C1" s="86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</row>
    <row r="2" ht="60" customHeight="1">
      <c r="A2" s="86" t="n"/>
      <c r="B2" s="87" t="inlineStr">
        <is>
          <t>📈  VMWARE CAPACITY PLANNING — DASHBOARD</t>
        </is>
      </c>
    </row>
    <row r="3" ht="6" customHeight="1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</row>
    <row r="4" ht="18" customHeight="1">
      <c r="B4" s="89" t="inlineStr">
        <is>
          <t>Généré le 23 March 2026  |  vCenter 8.x  |  Données dynamiques — tableaux tHosts / tDatastores / tVMs</t>
        </is>
      </c>
    </row>
    <row r="6" ht="20" customHeight="1">
      <c r="B6" s="48" t="inlineStr">
        <is>
          <t xml:space="preserve">  🖥️  COMPUTE</t>
        </is>
      </c>
    </row>
    <row r="7" ht="18" customHeight="1">
      <c r="B7" s="36" t="inlineStr">
        <is>
          <t>Hosts actifs</t>
        </is>
      </c>
      <c r="C7" s="11" t="n"/>
      <c r="F7" s="36" t="inlineStr">
        <is>
          <t>Total CPUs</t>
        </is>
      </c>
      <c r="G7" s="11" t="n"/>
      <c r="J7" s="37" t="inlineStr">
        <is>
          <t>CPU consommé</t>
        </is>
      </c>
      <c r="K7" s="11" t="n"/>
      <c r="N7" s="38" t="inlineStr">
        <is>
          <t>CPU libre moy.</t>
        </is>
      </c>
      <c r="O7" s="11" t="n"/>
      <c r="R7" s="36" t="inlineStr">
        <is>
          <t>RAM Totale</t>
        </is>
      </c>
      <c r="S7" s="11" t="n"/>
    </row>
    <row r="8" ht="40" customHeight="1">
      <c r="B8" s="40">
        <f>COUNTIF(tHosts[State],"connected")</f>
        <v/>
      </c>
      <c r="C8" s="11" t="n"/>
      <c r="F8" s="40">
        <f>SUMIF(tHosts[State],"connected",tHosts[CPUs])</f>
        <v/>
      </c>
      <c r="G8" s="11" t="n"/>
      <c r="J8" s="41">
        <f>IFERROR(AVERAGEIF(tHosts[State],"connected",tHosts[Consumed CPU %]),0)</f>
        <v/>
      </c>
      <c r="K8" s="11" t="n"/>
      <c r="N8" s="42">
        <f>IFERROR(AVERAGEIF(tHosts[State],"connected",tHosts[CPU Free %]),0)</f>
        <v/>
      </c>
      <c r="O8" s="11" t="n"/>
      <c r="R8" s="40">
        <f>IFERROR(ROUND(SUMIF(tHosts[State],"connected",tHosts[Memory Size (MB)])/1024,0),0)</f>
        <v/>
      </c>
      <c r="S8" s="11" t="n"/>
    </row>
    <row r="9" ht="14" customHeight="1">
      <c r="B9" s="44" t="inlineStr">
        <is>
          <t>actifs</t>
        </is>
      </c>
      <c r="C9" s="11" t="n"/>
      <c r="F9" s="44" t="inlineStr">
        <is>
          <t>logiques</t>
        </is>
      </c>
      <c r="G9" s="11" t="n"/>
      <c r="J9" s="45" t="inlineStr">
        <is>
          <t>moy. % used</t>
        </is>
      </c>
      <c r="K9" s="11" t="n"/>
      <c r="N9" s="46" t="inlineStr">
        <is>
          <t>moy. % free</t>
        </is>
      </c>
      <c r="O9" s="11" t="n"/>
      <c r="R9" s="44" t="inlineStr">
        <is>
          <t>GB cluster total</t>
        </is>
      </c>
      <c r="S9" s="11" t="n"/>
    </row>
    <row r="11" ht="20" customHeight="1">
      <c r="B11" s="60" t="inlineStr">
        <is>
          <t xml:space="preserve">  💽  STOCKAGE &amp; VMs</t>
        </is>
      </c>
    </row>
    <row r="12" ht="18" customHeight="1">
      <c r="B12" s="36" t="inlineStr">
        <is>
          <t>Total VMs</t>
        </is>
      </c>
      <c r="C12" s="11" t="n"/>
      <c r="F12" s="38" t="inlineStr">
        <is>
          <t>VMs poweredOn</t>
        </is>
      </c>
      <c r="G12" s="11" t="n"/>
      <c r="J12" s="37" t="inlineStr">
        <is>
          <t>VMs éteintes</t>
        </is>
      </c>
      <c r="K12" s="11" t="n"/>
      <c r="N12" s="36" t="inlineStr">
        <is>
          <t>Cap. Stockage</t>
        </is>
      </c>
      <c r="O12" s="11" t="n"/>
      <c r="R12" s="90" t="inlineStr">
        <is>
          <t>Usage Stockage</t>
        </is>
      </c>
      <c r="S12" s="11" t="n"/>
    </row>
    <row r="13" ht="40" customHeight="1">
      <c r="B13" s="40">
        <f>COUNTA(tVMs[Name])</f>
        <v/>
      </c>
      <c r="C13" s="11" t="n"/>
      <c r="F13" s="59">
        <f>COUNTIF(tVMs[State],"poweredOn")</f>
        <v/>
      </c>
      <c r="G13" s="11" t="n"/>
      <c r="J13" s="91">
        <f>COUNTIF(tVMs[State],"poweredOff")</f>
        <v/>
      </c>
      <c r="K13" s="11" t="n"/>
      <c r="N13" s="58">
        <f>IFERROR(ROUND(SUM(tDatastores[Capacity TB]),1),0)</f>
        <v/>
      </c>
      <c r="O13" s="11" t="n"/>
      <c r="R13" s="92">
        <f>IFERROR(1-SUM(tDatastores[Free])/SUM(tDatastores[Capacity]),0)</f>
        <v/>
      </c>
      <c r="S13" s="11" t="n"/>
    </row>
    <row r="14" ht="14" customHeight="1">
      <c r="B14" s="44" t="inlineStr">
        <is>
          <t>VMs inventaire</t>
        </is>
      </c>
      <c r="C14" s="11" t="n"/>
      <c r="F14" s="46" t="inlineStr">
        <is>
          <t>actives</t>
        </is>
      </c>
      <c r="G14" s="11" t="n"/>
      <c r="J14" s="45" t="inlineStr">
        <is>
          <t>à analyser</t>
        </is>
      </c>
      <c r="K14" s="11" t="n"/>
      <c r="N14" s="44" t="inlineStr">
        <is>
          <t>TB total</t>
        </is>
      </c>
      <c r="O14" s="11" t="n"/>
      <c r="R14" s="93" t="inlineStr">
        <is>
          <t>% utilisé global</t>
        </is>
      </c>
      <c r="S14" s="11" t="n"/>
    </row>
    <row r="16" ht="20" customHeight="1">
      <c r="B16" s="94" t="inlineStr">
        <is>
          <t xml:space="preserve">  🚨  ALERTES INFRASTRUCTURE</t>
        </is>
      </c>
    </row>
    <row r="17" ht="20" customHeight="1">
      <c r="B17" s="7" t="inlineStr">
        <is>
          <t>Hosts Status rouge</t>
        </is>
      </c>
      <c r="C17" s="10" t="n"/>
      <c r="D17" s="10" t="n"/>
      <c r="E17" s="10" t="n"/>
      <c r="F17" s="10" t="n"/>
      <c r="G17" s="11" t="n"/>
      <c r="H17" s="95">
        <f>COUNTIF(tHosts[Status],"red")</f>
        <v/>
      </c>
      <c r="I17" s="10" t="n"/>
      <c r="J17" s="11" t="n"/>
    </row>
    <row r="18" ht="20" customHeight="1">
      <c r="B18" s="7" t="inlineStr">
        <is>
          <t>Hosts Status jaune</t>
        </is>
      </c>
      <c r="C18" s="10" t="n"/>
      <c r="D18" s="10" t="n"/>
      <c r="E18" s="10" t="n"/>
      <c r="F18" s="10" t="n"/>
      <c r="G18" s="11" t="n"/>
      <c r="H18" s="96">
        <f>COUNTIF(tHosts[Status],"yellow")</f>
        <v/>
      </c>
      <c r="I18" s="10" t="n"/>
      <c r="J18" s="11" t="n"/>
    </row>
    <row r="19" ht="20" customHeight="1">
      <c r="B19" s="7" t="inlineStr">
        <is>
          <t>Datastores Status rouge</t>
        </is>
      </c>
      <c r="C19" s="10" t="n"/>
      <c r="D19" s="10" t="n"/>
      <c r="E19" s="10" t="n"/>
      <c r="F19" s="10" t="n"/>
      <c r="G19" s="11" t="n"/>
      <c r="H19" s="95">
        <f>COUNTIF(tDatastores[Status],"red")</f>
        <v/>
      </c>
      <c r="I19" s="10" t="n"/>
      <c r="J19" s="11" t="n"/>
    </row>
    <row r="20" ht="20" customHeight="1">
      <c r="B20" s="7" t="inlineStr">
        <is>
          <t>VMs Status rouge</t>
        </is>
      </c>
      <c r="C20" s="10" t="n"/>
      <c r="D20" s="10" t="n"/>
      <c r="E20" s="10" t="n"/>
      <c r="F20" s="10" t="n"/>
      <c r="G20" s="11" t="n"/>
      <c r="H20" s="95">
        <f>COUNTIF(tVMs[Status],"red")</f>
        <v/>
      </c>
      <c r="I20" s="10" t="n"/>
      <c r="J20" s="11" t="n"/>
    </row>
    <row r="21" ht="20" customHeight="1">
      <c r="B21" s="7" t="inlineStr">
        <is>
          <t>VMs Status jaune</t>
        </is>
      </c>
      <c r="C21" s="10" t="n"/>
      <c r="D21" s="10" t="n"/>
      <c r="E21" s="10" t="n"/>
      <c r="F21" s="10" t="n"/>
      <c r="G21" s="11" t="n"/>
      <c r="H21" s="96">
        <f>COUNTIF(tVMs[Status],"yellow")</f>
        <v/>
      </c>
      <c r="I21" s="10" t="n"/>
      <c r="J21" s="11" t="n"/>
    </row>
    <row r="22" ht="20" customHeight="1">
      <c r="B22" s="7" t="inlineStr">
        <is>
          <t>VMs poweredOff</t>
        </is>
      </c>
      <c r="C22" s="10" t="n"/>
      <c r="D22" s="10" t="n"/>
      <c r="E22" s="10" t="n"/>
      <c r="F22" s="10" t="n"/>
      <c r="G22" s="11" t="n"/>
      <c r="H22" s="96">
        <f>COUNTIF(tVMs[State],"poweredOff")</f>
        <v/>
      </c>
      <c r="I22" s="10" t="n"/>
      <c r="J22" s="11" t="n"/>
    </row>
    <row r="24" ht="20" customHeight="1">
      <c r="B24" s="3" t="inlineStr">
        <is>
          <t xml:space="preserve">  📊  VISUALISATIONS</t>
        </is>
      </c>
    </row>
    <row r="45">
      <c r="B45" s="97" t="inlineStr">
        <is>
          <t>État</t>
        </is>
      </c>
      <c r="C45" s="97" t="inlineStr">
        <is>
          <t>Nb VMs</t>
        </is>
      </c>
    </row>
    <row r="46">
      <c r="B46" t="inlineStr">
        <is>
          <t>poweredOn</t>
        </is>
      </c>
      <c r="C46">
        <f>COUNTIF(tVMs[State],"poweredOn")</f>
        <v/>
      </c>
    </row>
    <row r="47">
      <c r="B47" t="inlineStr">
        <is>
          <t>poweredOff</t>
        </is>
      </c>
      <c r="C47">
        <f>COUNTIF(tVMs[State],"poweredOff")</f>
        <v/>
      </c>
    </row>
  </sheetData>
  <mergeCells count="47">
    <mergeCell ref="B7:C7"/>
    <mergeCell ref="N7:O7"/>
    <mergeCell ref="J14:K14"/>
    <mergeCell ref="B17:G17"/>
    <mergeCell ref="B16:U16"/>
    <mergeCell ref="R13:S13"/>
    <mergeCell ref="H17:J17"/>
    <mergeCell ref="J13:K13"/>
    <mergeCell ref="F7:G7"/>
    <mergeCell ref="B12:C12"/>
    <mergeCell ref="J9:K9"/>
    <mergeCell ref="B19:G19"/>
    <mergeCell ref="F12:G12"/>
    <mergeCell ref="R7:S7"/>
    <mergeCell ref="N12:O12"/>
    <mergeCell ref="H22:J22"/>
    <mergeCell ref="H19:J19"/>
    <mergeCell ref="B11:U11"/>
    <mergeCell ref="B14:C14"/>
    <mergeCell ref="B2:U2"/>
    <mergeCell ref="B8:C8"/>
    <mergeCell ref="N8:O8"/>
    <mergeCell ref="N14:O14"/>
    <mergeCell ref="F8:G8"/>
    <mergeCell ref="B13:C13"/>
    <mergeCell ref="R12:S12"/>
    <mergeCell ref="B20:G20"/>
    <mergeCell ref="H18:J18"/>
    <mergeCell ref="J7:K7"/>
    <mergeCell ref="F13:G13"/>
    <mergeCell ref="B9:C9"/>
    <mergeCell ref="N13:O13"/>
    <mergeCell ref="F9:G9"/>
    <mergeCell ref="H20:J20"/>
    <mergeCell ref="N9:O9"/>
    <mergeCell ref="J12:K12"/>
    <mergeCell ref="B22:G22"/>
    <mergeCell ref="B6:U6"/>
    <mergeCell ref="B24:U24"/>
    <mergeCell ref="F14:G14"/>
    <mergeCell ref="B18:G18"/>
    <mergeCell ref="R14:S14"/>
    <mergeCell ref="R9:S9"/>
    <mergeCell ref="B21:G21"/>
    <mergeCell ref="J8:K8"/>
    <mergeCell ref="H21:J21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2026-03-23T09:24:25Z</dcterms:created>
  <dcterms:modified xmlns:dcterms="http://purl.org/dc/terms/" xmlns:xsi="http://www.w3.org/2001/XMLSchema-instance" xsi:type="dcterms:W3CDTF">2026-03-23T09:24:25Z</dcterms:modified>
</cp:coreProperties>
</file>